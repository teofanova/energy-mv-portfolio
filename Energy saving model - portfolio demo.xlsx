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filterPrivacy="1" defaultThemeVersion="124226"/>
  <xr:revisionPtr revIDLastSave="1634" documentId="8_{536B868E-4721-8E49-A93A-A7627F0BB52A}" xr6:coauthVersionLast="47" xr6:coauthVersionMax="47" xr10:uidLastSave="{ED313B26-C437-614C-8855-B9870B43EA0D}"/>
  <bookViews>
    <workbookView xWindow="3520" yWindow="660" windowWidth="23260" windowHeight="12580" tabRatio="798" activeTab="6" xr2:uid="{00000000-000D-0000-FFFF-FFFF00000000}"/>
  </bookViews>
  <sheets>
    <sheet name="Portfolio Guide" sheetId="15" r:id="rId1"/>
    <sheet name="General Data" sheetId="1" r:id="rId2"/>
    <sheet name="Projection" sheetId="3" r:id="rId3"/>
    <sheet name="Year 1" sheetId="11" r:id="rId4"/>
    <sheet name="Operating Costs" sheetId="7" r:id="rId5"/>
    <sheet name="CO2 Impact" sheetId="8" r:id="rId6"/>
    <sheet name="Cost Comparison" sheetId="9" r:id="rId7"/>
    <sheet name="Energy Price" sheetId="12" r:id="rId8"/>
    <sheet name="Average Price" sheetId="13" r:id="rId9"/>
    <sheet name="System Consumption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8" l="1"/>
  <c r="L19" i="8"/>
  <c r="M19" i="8"/>
  <c r="N19" i="8"/>
  <c r="O19" i="8"/>
  <c r="C17" i="8"/>
  <c r="F17" i="8"/>
  <c r="G17" i="8"/>
  <c r="H17" i="8"/>
  <c r="I17" i="8"/>
  <c r="K17" i="8"/>
  <c r="L17" i="8"/>
  <c r="M17" i="8"/>
  <c r="N17" i="8"/>
  <c r="O17" i="8"/>
  <c r="C18" i="8"/>
  <c r="F18" i="8"/>
  <c r="G18" i="8"/>
  <c r="H18" i="8"/>
  <c r="I18" i="8"/>
  <c r="K18" i="8"/>
  <c r="L18" i="8"/>
  <c r="M18" i="8"/>
  <c r="N18" i="8"/>
  <c r="O18" i="8"/>
  <c r="D4" i="11"/>
  <c r="O3" i="8"/>
  <c r="C3" i="8"/>
  <c r="F3" i="8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D15" i="11"/>
  <c r="D14" i="11"/>
  <c r="D13" i="11"/>
  <c r="D12" i="11"/>
  <c r="D11" i="11"/>
  <c r="D10" i="11"/>
  <c r="D9" i="11"/>
  <c r="D8" i="11"/>
  <c r="D7" i="11"/>
  <c r="D6" i="11"/>
  <c r="D5" i="11"/>
  <c r="B48" i="1"/>
  <c r="B34" i="1"/>
  <c r="B14" i="1"/>
  <c r="B18" i="1"/>
  <c r="B7" i="1"/>
  <c r="B44" i="1"/>
  <c r="H15" i="13"/>
  <c r="H14" i="13"/>
  <c r="H13" i="13"/>
  <c r="H12" i="13"/>
  <c r="H11" i="13"/>
  <c r="H10" i="13"/>
  <c r="H9" i="13"/>
  <c r="H8" i="13"/>
  <c r="H7" i="13"/>
  <c r="H6" i="13"/>
  <c r="H5" i="13"/>
  <c r="H4" i="13"/>
  <c r="H16" i="13" s="1"/>
  <c r="C60" i="1" l="1"/>
  <c r="C57" i="1"/>
  <c r="C53" i="1"/>
  <c r="C30" i="1"/>
  <c r="H7" i="12" l="1"/>
  <c r="F9" i="11" l="1"/>
  <c r="F10" i="11"/>
  <c r="F11" i="11"/>
  <c r="F12" i="11"/>
  <c r="F13" i="11"/>
  <c r="F14" i="11"/>
  <c r="F15" i="11"/>
  <c r="F8" i="11"/>
  <c r="F5" i="11"/>
  <c r="F6" i="11"/>
  <c r="F7" i="11"/>
  <c r="F4" i="11"/>
  <c r="K8" i="3" l="1"/>
  <c r="B32" i="1" l="1"/>
  <c r="I41" i="1"/>
  <c r="H41" i="1"/>
  <c r="B55" i="1" l="1"/>
  <c r="B24" i="1"/>
  <c r="C32" i="1"/>
  <c r="C31" i="1"/>
  <c r="B46" i="1" s="1"/>
  <c r="B56" i="1" l="1"/>
  <c r="C56" i="1" s="1"/>
  <c r="C55" i="1"/>
  <c r="B58" i="1"/>
  <c r="C22" i="1"/>
  <c r="B61" i="1" l="1"/>
  <c r="C61" i="1" s="1"/>
  <c r="C58" i="1"/>
  <c r="D55" i="1"/>
  <c r="D56" i="1" s="1"/>
  <c r="E53" i="1"/>
  <c r="E60" i="1"/>
  <c r="E57" i="1"/>
  <c r="B35" i="11" l="1"/>
  <c r="E55" i="1" l="1"/>
  <c r="B57" i="11" l="1"/>
  <c r="B58" i="11"/>
  <c r="B59" i="11"/>
  <c r="B60" i="11"/>
  <c r="B61" i="11"/>
  <c r="B62" i="11"/>
  <c r="B63" i="11"/>
  <c r="B64" i="11"/>
  <c r="B65" i="11"/>
  <c r="B66" i="11"/>
  <c r="B67" i="11"/>
  <c r="B56" i="11"/>
  <c r="D58" i="1" l="1"/>
  <c r="D61" i="1" s="1"/>
  <c r="E56" i="1"/>
  <c r="E58" i="1" s="1"/>
  <c r="E61" i="1" s="1"/>
  <c r="M5" i="11"/>
  <c r="M6" i="11"/>
  <c r="M7" i="11"/>
  <c r="M8" i="11"/>
  <c r="M9" i="11"/>
  <c r="M10" i="11"/>
  <c r="M11" i="11"/>
  <c r="M12" i="11"/>
  <c r="M13" i="11"/>
  <c r="M14" i="11"/>
  <c r="M15" i="11"/>
  <c r="M4" i="11"/>
  <c r="M16" i="11" l="1"/>
  <c r="G5" i="11" l="1"/>
  <c r="G4" i="11"/>
  <c r="B5" i="12" l="1"/>
  <c r="B4" i="12"/>
  <c r="B3" i="12"/>
  <c r="D6" i="9"/>
  <c r="D17" i="7"/>
  <c r="D16" i="7"/>
  <c r="D15" i="7"/>
  <c r="F15" i="7" s="1"/>
  <c r="D14" i="7"/>
  <c r="D13" i="7"/>
  <c r="D12" i="7"/>
  <c r="D49" i="11"/>
  <c r="C49" i="11"/>
  <c r="B49" i="11"/>
  <c r="D42" i="11"/>
  <c r="C42" i="11"/>
  <c r="B42" i="11"/>
  <c r="D35" i="11"/>
  <c r="C35" i="11"/>
  <c r="D28" i="11"/>
  <c r="C28" i="11"/>
  <c r="B28" i="11"/>
  <c r="B24" i="11"/>
  <c r="D16" i="11"/>
  <c r="C16" i="11"/>
  <c r="B3" i="14" s="1"/>
  <c r="E15" i="11"/>
  <c r="E14" i="11"/>
  <c r="E13" i="11"/>
  <c r="E12" i="11"/>
  <c r="E11" i="11"/>
  <c r="G10" i="11"/>
  <c r="E10" i="11"/>
  <c r="G9" i="11"/>
  <c r="E9" i="11"/>
  <c r="G8" i="11"/>
  <c r="E8" i="11"/>
  <c r="E7" i="11"/>
  <c r="E6" i="11"/>
  <c r="E5" i="11"/>
  <c r="E4" i="11"/>
  <c r="B7" i="12"/>
  <c r="B4" i="14" l="1"/>
  <c r="F7" i="12"/>
  <c r="G7" i="12" s="1"/>
  <c r="I7" i="12"/>
  <c r="I21" i="12"/>
  <c r="I11" i="12"/>
  <c r="I8" i="12"/>
  <c r="I12" i="12"/>
  <c r="I20" i="12"/>
  <c r="I10" i="12"/>
  <c r="I9" i="12"/>
  <c r="I16" i="12"/>
  <c r="I14" i="12"/>
  <c r="I19" i="12"/>
  <c r="I18" i="12"/>
  <c r="I15" i="12"/>
  <c r="I17" i="12"/>
  <c r="I13" i="12"/>
  <c r="C8" i="12"/>
  <c r="C7" i="12"/>
  <c r="C21" i="12"/>
  <c r="C20" i="12"/>
  <c r="C9" i="12"/>
  <c r="C10" i="12"/>
  <c r="C11" i="12"/>
  <c r="C12" i="12"/>
  <c r="C16" i="12"/>
  <c r="C13" i="12"/>
  <c r="C17" i="12"/>
  <c r="C14" i="12"/>
  <c r="C18" i="12"/>
  <c r="D7" i="12"/>
  <c r="C15" i="12"/>
  <c r="C19" i="12"/>
  <c r="K11" i="8"/>
  <c r="C4" i="8"/>
  <c r="F4" i="8" s="1"/>
  <c r="L4" i="8" s="1"/>
  <c r="K7" i="8"/>
  <c r="K15" i="8"/>
  <c r="K5" i="8"/>
  <c r="K9" i="8"/>
  <c r="K13" i="8"/>
  <c r="F14" i="7"/>
  <c r="G14" i="7" s="1"/>
  <c r="H14" i="7" s="1"/>
  <c r="G15" i="7"/>
  <c r="H15" i="7" s="1"/>
  <c r="E28" i="11"/>
  <c r="E16" i="11"/>
  <c r="E42" i="11"/>
  <c r="E49" i="11"/>
  <c r="F12" i="7"/>
  <c r="G12" i="7" s="1"/>
  <c r="H12" i="7" s="1"/>
  <c r="F16" i="7"/>
  <c r="G16" i="7" s="1"/>
  <c r="H16" i="7" s="1"/>
  <c r="B8" i="12"/>
  <c r="G15" i="11"/>
  <c r="G11" i="11"/>
  <c r="G7" i="11"/>
  <c r="G14" i="11"/>
  <c r="G6" i="11"/>
  <c r="G13" i="11"/>
  <c r="C5" i="9"/>
  <c r="G12" i="11"/>
  <c r="F13" i="7"/>
  <c r="G13" i="7" s="1"/>
  <c r="H13" i="7" s="1"/>
  <c r="F17" i="7"/>
  <c r="G17" i="7" s="1"/>
  <c r="H17" i="7" s="1"/>
  <c r="E35" i="11"/>
  <c r="D66" i="11"/>
  <c r="K4" i="8"/>
  <c r="K8" i="8"/>
  <c r="K12" i="8"/>
  <c r="K16" i="8"/>
  <c r="K6" i="8"/>
  <c r="K10" i="8"/>
  <c r="K14" i="8"/>
  <c r="C5" i="8" l="1"/>
  <c r="F8" i="12"/>
  <c r="C4" i="7" s="1"/>
  <c r="B5" i="14"/>
  <c r="E7" i="12"/>
  <c r="C4" i="9"/>
  <c r="C7" i="9" s="1"/>
  <c r="H4" i="8"/>
  <c r="O4" i="8" s="1"/>
  <c r="G4" i="8"/>
  <c r="N4" i="8" s="1"/>
  <c r="D4" i="9"/>
  <c r="D7" i="9" s="1"/>
  <c r="D62" i="11"/>
  <c r="D56" i="11"/>
  <c r="B9" i="12"/>
  <c r="J14" i="7"/>
  <c r="K14" i="7"/>
  <c r="D59" i="11"/>
  <c r="D63" i="11"/>
  <c r="D67" i="11"/>
  <c r="J15" i="7"/>
  <c r="K15" i="7"/>
  <c r="D60" i="11"/>
  <c r="D64" i="11"/>
  <c r="J17" i="7"/>
  <c r="K17" i="7"/>
  <c r="J16" i="7"/>
  <c r="K16" i="7"/>
  <c r="D58" i="11"/>
  <c r="E8" i="12"/>
  <c r="D8" i="12"/>
  <c r="D57" i="11"/>
  <c r="D61" i="11"/>
  <c r="D65" i="11"/>
  <c r="J13" i="7"/>
  <c r="K13" i="7"/>
  <c r="G16" i="11"/>
  <c r="C3" i="7" s="1"/>
  <c r="F16" i="11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J12" i="7"/>
  <c r="K12" i="7"/>
  <c r="G8" i="12" l="1"/>
  <c r="C6" i="8"/>
  <c r="F9" i="12"/>
  <c r="C5" i="7" s="1"/>
  <c r="D5" i="7" s="1"/>
  <c r="F5" i="7" s="1"/>
  <c r="G5" i="7" s="1"/>
  <c r="H5" i="7" s="1"/>
  <c r="B6" i="14"/>
  <c r="F5" i="8"/>
  <c r="H5" i="8"/>
  <c r="D8" i="9"/>
  <c r="B10" i="12"/>
  <c r="D10" i="12" s="1"/>
  <c r="G9" i="12"/>
  <c r="I4" i="8"/>
  <c r="M4" i="8" s="1"/>
  <c r="B9" i="3"/>
  <c r="H12" i="11" s="1"/>
  <c r="C60" i="11" s="1"/>
  <c r="B7" i="3"/>
  <c r="H10" i="11" s="1"/>
  <c r="C58" i="11" s="1"/>
  <c r="D4" i="7"/>
  <c r="F4" i="7" s="1"/>
  <c r="G4" i="7" s="1"/>
  <c r="H4" i="7" s="1"/>
  <c r="K4" i="7" s="1"/>
  <c r="D3" i="7"/>
  <c r="D9" i="12"/>
  <c r="E9" i="12"/>
  <c r="I5" i="8" l="1"/>
  <c r="M5" i="8" s="1"/>
  <c r="O5" i="8"/>
  <c r="C7" i="8"/>
  <c r="B7" i="14"/>
  <c r="F10" i="12"/>
  <c r="C6" i="7" s="1"/>
  <c r="D6" i="7" s="1"/>
  <c r="F6" i="7" s="1"/>
  <c r="G6" i="7" s="1"/>
  <c r="H6" i="7" s="1"/>
  <c r="L5" i="8"/>
  <c r="G5" i="8"/>
  <c r="N5" i="8" s="1"/>
  <c r="F6" i="8"/>
  <c r="H6" i="8"/>
  <c r="J5" i="7"/>
  <c r="K5" i="7"/>
  <c r="E10" i="12"/>
  <c r="D9" i="3"/>
  <c r="C7" i="3"/>
  <c r="B11" i="12"/>
  <c r="B16" i="3"/>
  <c r="H7" i="11" s="1"/>
  <c r="C67" i="11" s="1"/>
  <c r="B12" i="3"/>
  <c r="H15" i="11" s="1"/>
  <c r="C63" i="11" s="1"/>
  <c r="D7" i="3"/>
  <c r="F7" i="3"/>
  <c r="B13" i="3"/>
  <c r="H4" i="11" s="1"/>
  <c r="C64" i="11" s="1"/>
  <c r="B11" i="3"/>
  <c r="H14" i="11" s="1"/>
  <c r="C62" i="11" s="1"/>
  <c r="B5" i="3"/>
  <c r="H8" i="11" s="1"/>
  <c r="C56" i="11" s="1"/>
  <c r="B15" i="3"/>
  <c r="H6" i="11" s="1"/>
  <c r="C66" i="11" s="1"/>
  <c r="B14" i="3"/>
  <c r="H5" i="11" s="1"/>
  <c r="C65" i="11" s="1"/>
  <c r="B8" i="3"/>
  <c r="H11" i="11" s="1"/>
  <c r="C59" i="11" s="1"/>
  <c r="B24" i="3"/>
  <c r="B10" i="3"/>
  <c r="B6" i="3"/>
  <c r="F9" i="3"/>
  <c r="C9" i="3"/>
  <c r="B26" i="3"/>
  <c r="F3" i="7"/>
  <c r="J4" i="7"/>
  <c r="G10" i="12" l="1"/>
  <c r="L6" i="8"/>
  <c r="G6" i="8"/>
  <c r="N6" i="8" s="1"/>
  <c r="F7" i="8"/>
  <c r="H7" i="8"/>
  <c r="J6" i="7"/>
  <c r="K6" i="7"/>
  <c r="G3" i="7"/>
  <c r="H3" i="7" s="1"/>
  <c r="I6" i="8"/>
  <c r="M6" i="8" s="1"/>
  <c r="O6" i="8"/>
  <c r="B8" i="14"/>
  <c r="C8" i="8"/>
  <c r="F11" i="12"/>
  <c r="C7" i="7" s="1"/>
  <c r="D7" i="7" s="1"/>
  <c r="F7" i="7" s="1"/>
  <c r="G7" i="7" s="1"/>
  <c r="H7" i="7" s="1"/>
  <c r="C36" i="11"/>
  <c r="C37" i="11" s="1"/>
  <c r="C38" i="11" s="1"/>
  <c r="E58" i="11"/>
  <c r="H13" i="11"/>
  <c r="C61" i="11" s="1"/>
  <c r="H9" i="11"/>
  <c r="C57" i="11" s="1"/>
  <c r="E57" i="11" s="1"/>
  <c r="E59" i="11"/>
  <c r="E65" i="11"/>
  <c r="E62" i="11"/>
  <c r="E67" i="11"/>
  <c r="E64" i="11"/>
  <c r="C43" i="11"/>
  <c r="C44" i="11" s="1"/>
  <c r="C45" i="11" s="1"/>
  <c r="F16" i="3"/>
  <c r="K8" i="11"/>
  <c r="D16" i="3"/>
  <c r="C12" i="3"/>
  <c r="C16" i="3"/>
  <c r="B27" i="3"/>
  <c r="B12" i="12"/>
  <c r="E11" i="12"/>
  <c r="D11" i="12"/>
  <c r="B33" i="3"/>
  <c r="F12" i="3"/>
  <c r="D12" i="3"/>
  <c r="B29" i="3"/>
  <c r="B17" i="3"/>
  <c r="B41" i="1" s="1"/>
  <c r="B42" i="1" s="1"/>
  <c r="B45" i="1" s="1"/>
  <c r="B31" i="3"/>
  <c r="F14" i="3"/>
  <c r="C14" i="3"/>
  <c r="D14" i="3"/>
  <c r="K5" i="11"/>
  <c r="F15" i="3"/>
  <c r="B32" i="3"/>
  <c r="D15" i="3"/>
  <c r="C15" i="3"/>
  <c r="C6" i="3"/>
  <c r="B23" i="3"/>
  <c r="F6" i="3"/>
  <c r="D6" i="3"/>
  <c r="F5" i="3"/>
  <c r="D5" i="3"/>
  <c r="C5" i="3"/>
  <c r="B22" i="3"/>
  <c r="D13" i="3"/>
  <c r="C13" i="3"/>
  <c r="F13" i="3"/>
  <c r="B30" i="3"/>
  <c r="F10" i="3"/>
  <c r="D10" i="3"/>
  <c r="C10" i="3"/>
  <c r="D8" i="3"/>
  <c r="C8" i="3"/>
  <c r="B25" i="3"/>
  <c r="F8" i="3"/>
  <c r="D11" i="3"/>
  <c r="B28" i="3"/>
  <c r="C11" i="3"/>
  <c r="F11" i="3"/>
  <c r="K6" i="11"/>
  <c r="D29" i="11"/>
  <c r="D30" i="11" s="1"/>
  <c r="D31" i="11" s="1"/>
  <c r="K15" i="11"/>
  <c r="D50" i="11"/>
  <c r="D51" i="11" s="1"/>
  <c r="D52" i="11" s="1"/>
  <c r="K14" i="11"/>
  <c r="C50" i="11"/>
  <c r="C51" i="11" s="1"/>
  <c r="C52" i="11" s="1"/>
  <c r="E60" i="11"/>
  <c r="C29" i="11"/>
  <c r="C30" i="11" s="1"/>
  <c r="C31" i="11" s="1"/>
  <c r="J3" i="7" l="1"/>
  <c r="K3" i="7"/>
  <c r="F8" i="8"/>
  <c r="H8" i="8"/>
  <c r="L7" i="8"/>
  <c r="G7" i="8"/>
  <c r="N7" i="8" s="1"/>
  <c r="K7" i="7"/>
  <c r="J7" i="7"/>
  <c r="G11" i="12"/>
  <c r="C9" i="8"/>
  <c r="B9" i="14"/>
  <c r="F12" i="12"/>
  <c r="C8" i="7" s="1"/>
  <c r="D8" i="7" s="1"/>
  <c r="F8" i="7" s="1"/>
  <c r="G8" i="7" s="1"/>
  <c r="H8" i="7" s="1"/>
  <c r="I7" i="8"/>
  <c r="M7" i="8" s="1"/>
  <c r="O7" i="8"/>
  <c r="Q5" i="3"/>
  <c r="B50" i="11"/>
  <c r="E50" i="11" s="1"/>
  <c r="K13" i="11"/>
  <c r="K12" i="11"/>
  <c r="D43" i="11"/>
  <c r="D44" i="11" s="1"/>
  <c r="D45" i="11" s="1"/>
  <c r="K10" i="11"/>
  <c r="B43" i="11"/>
  <c r="E63" i="11"/>
  <c r="K11" i="11"/>
  <c r="E61" i="11"/>
  <c r="K9" i="11"/>
  <c r="D36" i="11"/>
  <c r="D37" i="11" s="1"/>
  <c r="D38" i="11" s="1"/>
  <c r="B13" i="12"/>
  <c r="D12" i="12"/>
  <c r="E12" i="12"/>
  <c r="B29" i="11"/>
  <c r="B30" i="11" s="1"/>
  <c r="B31" i="11" s="1"/>
  <c r="Q11" i="3"/>
  <c r="Q8" i="3"/>
  <c r="B34" i="3"/>
  <c r="K4" i="11"/>
  <c r="E66" i="11"/>
  <c r="Q14" i="3"/>
  <c r="C17" i="3"/>
  <c r="D17" i="3"/>
  <c r="E56" i="11"/>
  <c r="B36" i="11"/>
  <c r="K7" i="11"/>
  <c r="H16" i="11"/>
  <c r="K16" i="11" s="1"/>
  <c r="K18" i="11" s="1"/>
  <c r="F17" i="3"/>
  <c r="G12" i="12" l="1"/>
  <c r="L8" i="8"/>
  <c r="G8" i="8"/>
  <c r="N8" i="8" s="1"/>
  <c r="I8" i="8"/>
  <c r="M8" i="8" s="1"/>
  <c r="O8" i="8"/>
  <c r="C10" i="8"/>
  <c r="B10" i="14"/>
  <c r="F13" i="12"/>
  <c r="C9" i="7" s="1"/>
  <c r="D9" i="7" s="1"/>
  <c r="F9" i="7" s="1"/>
  <c r="G9" i="7" s="1"/>
  <c r="H9" i="7" s="1"/>
  <c r="K8" i="7"/>
  <c r="J8" i="7"/>
  <c r="F9" i="8"/>
  <c r="H9" i="8"/>
  <c r="B51" i="11"/>
  <c r="B52" i="11" s="1"/>
  <c r="E43" i="11"/>
  <c r="B44" i="11"/>
  <c r="B45" i="11" s="1"/>
  <c r="E29" i="11"/>
  <c r="B14" i="12"/>
  <c r="E13" i="12"/>
  <c r="D13" i="12"/>
  <c r="Q17" i="3"/>
  <c r="B37" i="11"/>
  <c r="E36" i="11"/>
  <c r="E30" i="11"/>
  <c r="E51" i="11" l="1"/>
  <c r="E52" i="11" s="1"/>
  <c r="G13" i="12"/>
  <c r="F14" i="12"/>
  <c r="D10" i="7" s="1"/>
  <c r="F10" i="7" s="1"/>
  <c r="G10" i="7" s="1"/>
  <c r="H10" i="7" s="1"/>
  <c r="B11" i="14"/>
  <c r="C11" i="8"/>
  <c r="I9" i="8"/>
  <c r="M9" i="8" s="1"/>
  <c r="O9" i="8"/>
  <c r="K9" i="7"/>
  <c r="J9" i="7"/>
  <c r="F10" i="8"/>
  <c r="H10" i="8"/>
  <c r="L9" i="8"/>
  <c r="G9" i="8"/>
  <c r="N9" i="8" s="1"/>
  <c r="E31" i="11"/>
  <c r="E44" i="11"/>
  <c r="E45" i="11" s="1"/>
  <c r="B15" i="12"/>
  <c r="D14" i="12"/>
  <c r="E14" i="12"/>
  <c r="E37" i="11"/>
  <c r="E38" i="11" s="1"/>
  <c r="B38" i="11"/>
  <c r="G14" i="12" l="1"/>
  <c r="O10" i="8"/>
  <c r="I10" i="8"/>
  <c r="M10" i="8" s="1"/>
  <c r="L10" i="8"/>
  <c r="G10" i="8"/>
  <c r="N10" i="8" s="1"/>
  <c r="F11" i="8"/>
  <c r="H11" i="8"/>
  <c r="F15" i="12"/>
  <c r="D11" i="7" s="1"/>
  <c r="F11" i="7" s="1"/>
  <c r="G11" i="7" s="1"/>
  <c r="H11" i="7" s="1"/>
  <c r="B12" i="14"/>
  <c r="C12" i="8"/>
  <c r="J10" i="7"/>
  <c r="K10" i="7"/>
  <c r="B16" i="12"/>
  <c r="D15" i="12"/>
  <c r="E15" i="12"/>
  <c r="F12" i="8" l="1"/>
  <c r="H12" i="8"/>
  <c r="J11" i="7"/>
  <c r="K11" i="7"/>
  <c r="L11" i="8"/>
  <c r="G11" i="8"/>
  <c r="N11" i="8" s="1"/>
  <c r="F16" i="12"/>
  <c r="G16" i="12" s="1"/>
  <c r="B13" i="14"/>
  <c r="C13" i="8"/>
  <c r="G15" i="12"/>
  <c r="I11" i="8"/>
  <c r="M11" i="8" s="1"/>
  <c r="O11" i="8"/>
  <c r="B17" i="12"/>
  <c r="E16" i="12"/>
  <c r="D16" i="12"/>
  <c r="B14" i="14" l="1"/>
  <c r="F17" i="12"/>
  <c r="G17" i="12" s="1"/>
  <c r="C14" i="8"/>
  <c r="F13" i="8"/>
  <c r="H13" i="8"/>
  <c r="O12" i="8"/>
  <c r="I12" i="8"/>
  <c r="M12" i="8" s="1"/>
  <c r="L12" i="8"/>
  <c r="G12" i="8"/>
  <c r="N12" i="8" s="1"/>
  <c r="B18" i="12"/>
  <c r="E17" i="12"/>
  <c r="D17" i="12"/>
  <c r="I13" i="8" l="1"/>
  <c r="M13" i="8" s="1"/>
  <c r="O13" i="8"/>
  <c r="F14" i="8"/>
  <c r="H14" i="8"/>
  <c r="L13" i="8"/>
  <c r="G13" i="8"/>
  <c r="N13" i="8" s="1"/>
  <c r="B15" i="14"/>
  <c r="C15" i="8"/>
  <c r="F18" i="12"/>
  <c r="G18" i="12" s="1"/>
  <c r="B19" i="12"/>
  <c r="B20" i="12" s="1"/>
  <c r="D18" i="12"/>
  <c r="E18" i="12"/>
  <c r="F15" i="8" l="1"/>
  <c r="H15" i="8"/>
  <c r="O14" i="8"/>
  <c r="I14" i="8"/>
  <c r="M14" i="8" s="1"/>
  <c r="L14" i="8"/>
  <c r="G14" i="8"/>
  <c r="N14" i="8" s="1"/>
  <c r="F19" i="12"/>
  <c r="G19" i="12" s="1"/>
  <c r="B16" i="14"/>
  <c r="C16" i="8"/>
  <c r="B21" i="12"/>
  <c r="E20" i="12"/>
  <c r="D20" i="12"/>
  <c r="E19" i="12"/>
  <c r="D19" i="12"/>
  <c r="B17" i="14" l="1"/>
  <c r="F21" i="12" s="1"/>
  <c r="G21" i="12" s="1"/>
  <c r="F20" i="12"/>
  <c r="G20" i="12" s="1"/>
  <c r="F16" i="8"/>
  <c r="H16" i="8"/>
  <c r="O15" i="8"/>
  <c r="I15" i="8"/>
  <c r="M15" i="8" s="1"/>
  <c r="L15" i="8"/>
  <c r="G15" i="8"/>
  <c r="N15" i="8" s="1"/>
  <c r="E21" i="12"/>
  <c r="D21" i="12"/>
  <c r="O16" i="8" l="1"/>
  <c r="I16" i="8"/>
  <c r="M16" i="8" s="1"/>
  <c r="L16" i="8"/>
  <c r="G16" i="8"/>
  <c r="N1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0" authorId="0" shapeId="0" xr:uid="{50A9C22A-60FA-4A94-8BB3-291E1F9DB62F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Из понуде вредност</t>
        </r>
      </text>
    </comment>
  </commentList>
</comments>
</file>

<file path=xl/sharedStrings.xml><?xml version="1.0" encoding="utf-8"?>
<sst xmlns="http://schemas.openxmlformats.org/spreadsheetml/2006/main" count="362" uniqueCount="216">
  <si>
    <t>Σ</t>
  </si>
  <si>
    <t>%</t>
  </si>
  <si>
    <t>[kW]</t>
  </si>
  <si>
    <t>[kWh]</t>
  </si>
  <si>
    <t>April</t>
  </si>
  <si>
    <t>PORTFOLIO DEMO</t>
  </si>
  <si>
    <t>ENERGY SAVINGS REPORT</t>
  </si>
  <si>
    <t>DEMO-ESCO-01</t>
  </si>
  <si>
    <t>Contract Name</t>
  </si>
  <si>
    <t>Contract Number</t>
  </si>
  <si>
    <t>Contract Date</t>
  </si>
  <si>
    <t>Updated by:</t>
  </si>
  <si>
    <t>Last updated:</t>
  </si>
  <si>
    <t>Proposal Number</t>
  </si>
  <si>
    <t>Report Date</t>
  </si>
  <si>
    <t>Preparation Phase:</t>
  </si>
  <si>
    <t>Implementation Phase:</t>
  </si>
  <si>
    <t>Guarantee Phase:</t>
  </si>
  <si>
    <t>Guarantee Start Date:</t>
  </si>
  <si>
    <t>Guarantee Period (years):</t>
  </si>
  <si>
    <t>Guarantee End Date:</t>
  </si>
  <si>
    <t>Contract Value: NET</t>
  </si>
  <si>
    <t>Fixtures per Tender:</t>
  </si>
  <si>
    <t>Installed Fixtures:</t>
  </si>
  <si>
    <t>Additional Installed Fixtures:</t>
  </si>
  <si>
    <t>Remaining Fixtures:</t>
  </si>
  <si>
    <t>Intervention Fixtures:</t>
  </si>
  <si>
    <t>Control Systems:</t>
  </si>
  <si>
    <t>Tender – Bid Form</t>
  </si>
  <si>
    <t>Reference System Consumption [kWh]</t>
  </si>
  <si>
    <t>Reference Installed Capacity [kW]</t>
  </si>
  <si>
    <t>Reference Energy Cost</t>
  </si>
  <si>
    <t>Reference Maintenance Cost</t>
  </si>
  <si>
    <t>Reference Operating Cost</t>
  </si>
  <si>
    <t>Reference Electricity Price [RSD/kWh]</t>
  </si>
  <si>
    <t>Reference Electricity Price [EUR/kWh]</t>
  </si>
  <si>
    <t>Guaranteed Annual Operating Cost Savings</t>
  </si>
  <si>
    <t>Exchange Rate at Publication</t>
  </si>
  <si>
    <t>Installed Capacity [kW]</t>
  </si>
  <si>
    <t>Guaranteed Consumption [kWh]</t>
  </si>
  <si>
    <t>Projected Consumption [kWh]</t>
  </si>
  <si>
    <t>Projected Annual Electricity Cost</t>
  </si>
  <si>
    <t>Projected Annual Maintenance Cost</t>
  </si>
  <si>
    <t>Annual Electricity Savings [kWh]</t>
  </si>
  <si>
    <t>Annual Electricity Cost Savings</t>
  </si>
  <si>
    <t>Annual Maintenance Cost Savings</t>
  </si>
  <si>
    <t>Annual Service Fee</t>
  </si>
  <si>
    <t>Annual Service Fee [%]</t>
  </si>
  <si>
    <t>Operating Hours</t>
  </si>
  <si>
    <t>Actual Installed System Capacity</t>
  </si>
  <si>
    <t>Without Dimming</t>
  </si>
  <si>
    <t>With Dimming</t>
  </si>
  <si>
    <t>71% Dimming</t>
  </si>
  <si>
    <t>Planned Other Consumers</t>
  </si>
  <si>
    <t>Unplanned Additional Consumers</t>
  </si>
  <si>
    <t>PUBLIC LIGHTING SYSTEM CHANGES</t>
  </si>
  <si>
    <t>Document</t>
  </si>
  <si>
    <t>Date</t>
  </si>
  <si>
    <t>Dimming</t>
  </si>
  <si>
    <t>Consumption [kWh]</t>
  </si>
  <si>
    <t>New Total System Consumption</t>
  </si>
  <si>
    <t>Effective Date</t>
  </si>
  <si>
    <t>Note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</si>
  <si>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</si>
  <si>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</si>
  <si>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</si>
  <si>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</si>
  <si>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</si>
  <si>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</si>
  <si>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</si>
  <si>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</si>
  <si>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</si>
  <si>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</si>
  <si>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</si>
  <si>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Municipal LED Street Lighting Modernization – Portfolio Demo</t>
  </si>
  <si>
    <t>DEMO-ESCO-2026-01</t>
  </si>
  <si>
    <t>Portfolio Analyst</t>
  </si>
  <si>
    <t>DEMO-BID-026</t>
  </si>
  <si>
    <t>Commissioning Certificate</t>
  </si>
  <si>
    <t>Initial LED commissioning – fictional demo record</t>
  </si>
  <si>
    <t>Change Order 01</t>
  </si>
  <si>
    <t>Added pedestrian-zone lighting – fictional demo record</t>
  </si>
  <si>
    <t>Optimization Note</t>
  </si>
  <si>
    <t>Night-time dimming optimization – fictional demo record</t>
  </si>
  <si>
    <t>DATE AND RECORD</t>
  </si>
  <si>
    <t>Month</t>
  </si>
  <si>
    <t>Electricity Consumed [kWh]</t>
  </si>
  <si>
    <t>Cost excl. VAT [RSD]</t>
  </si>
  <si>
    <t>Cost excl. VAT [EUR]</t>
  </si>
  <si>
    <t>Electricity +5% [kWh]</t>
  </si>
  <si>
    <t>Quarter</t>
  </si>
  <si>
    <t>Projection – Original Engineering Model</t>
  </si>
  <si>
    <t>Total</t>
  </si>
  <si>
    <t>Q1</t>
  </si>
  <si>
    <t>Q2</t>
  </si>
  <si>
    <t>Q3</t>
  </si>
  <si>
    <t>Q4</t>
  </si>
  <si>
    <t>Actual</t>
  </si>
  <si>
    <t>Projection</t>
  </si>
  <si>
    <t>Year</t>
  </si>
  <si>
    <t>Invoice Consumption excl. Added Loads [kWh]</t>
  </si>
  <si>
    <t>Cost at Reference Energy Price [EUR]</t>
  </si>
  <si>
    <t>Invoice Consumption [kWh]</t>
  </si>
  <si>
    <t>Reporting Period Total</t>
  </si>
  <si>
    <t>Variance</t>
  </si>
  <si>
    <t>Actual [kWh]</t>
  </si>
  <si>
    <t>Projection [kWh]</t>
  </si>
  <si>
    <t>Average [kWh]</t>
  </si>
  <si>
    <t>Variance [kWh]</t>
  </si>
  <si>
    <t>Month 1</t>
  </si>
  <si>
    <t>Month 2</t>
  </si>
  <si>
    <t>Month 3</t>
  </si>
  <si>
    <t>Guarantee Year 1</t>
  </si>
  <si>
    <t>Energy Price</t>
  </si>
  <si>
    <t>Distribution Charge</t>
  </si>
  <si>
    <t>System Fee</t>
  </si>
  <si>
    <t>Efficiency Fee</t>
  </si>
  <si>
    <t>Excise Factor</t>
  </si>
  <si>
    <t>Net Price</t>
  </si>
  <si>
    <t>Guarantee Year</t>
  </si>
  <si>
    <t>Total System Electricity Consumption [kWh]</t>
  </si>
  <si>
    <t>Consumption excl. Additional Loads [kWh]</t>
  </si>
  <si>
    <t>Reference Electricity Price</t>
  </si>
  <si>
    <t>Exchange Rate</t>
  </si>
  <si>
    <t>Before Reconstruction</t>
  </si>
  <si>
    <t>Without Reconstruction</t>
  </si>
  <si>
    <t>Increase</t>
  </si>
  <si>
    <t>After Reconstruction</t>
  </si>
  <si>
    <t>Electricity Price</t>
  </si>
  <si>
    <t>Price Increase</t>
  </si>
  <si>
    <t>1. year</t>
  </si>
  <si>
    <t>2. year</t>
  </si>
  <si>
    <t>3. year</t>
  </si>
  <si>
    <t>4. year</t>
  </si>
  <si>
    <t>5. year</t>
  </si>
  <si>
    <t>6. year</t>
  </si>
  <si>
    <t>7. year</t>
  </si>
  <si>
    <t>8. year</t>
  </si>
  <si>
    <t>9. year</t>
  </si>
  <si>
    <t>10. year</t>
  </si>
  <si>
    <t>11. year</t>
  </si>
  <si>
    <t>12. year</t>
  </si>
  <si>
    <t>13. year</t>
  </si>
  <si>
    <t>14. year</t>
  </si>
  <si>
    <t>15. year</t>
  </si>
  <si>
    <t>Maintenance Cost</t>
  </si>
  <si>
    <t>Electricity Cost at Reference Price</t>
  </si>
  <si>
    <t>Operating Cost</t>
  </si>
  <si>
    <t>Operating Cost Savings Achieved</t>
  </si>
  <si>
    <t>Variance vs Guaranteed Savings</t>
  </si>
  <si>
    <t>Variance [%]</t>
  </si>
  <si>
    <t>CO2 Emissions Before Reconstruction</t>
  </si>
  <si>
    <t>Savings [%]</t>
  </si>
  <si>
    <t>Electricity Savings [kWh]</t>
  </si>
  <si>
    <t>CO2 Reduction [t]</t>
  </si>
  <si>
    <t>CO2 Before Reconstruction</t>
  </si>
  <si>
    <t>CO2 After Reconstruction</t>
  </si>
  <si>
    <t>Consumption in Guarantee Year 1 [kWh]</t>
  </si>
  <si>
    <t>CO2 Emissions in Year 1</t>
  </si>
  <si>
    <t>Consumption in Guarantee Year 2 [kWh]</t>
  </si>
  <si>
    <t>CO2 Emissions in Year 2</t>
  </si>
  <si>
    <t>Consumption in Guarantee Year 3 [kWh]</t>
  </si>
  <si>
    <t>CO2 Emissions in Year 3</t>
  </si>
  <si>
    <t>Consumption in Guarantee Year 4 [kWh]</t>
  </si>
  <si>
    <t>CO2 Emissions in Year 4</t>
  </si>
  <si>
    <t>Consumption in Guarantee Year 5 [kWh]</t>
  </si>
  <si>
    <t>CO2 Emissions in Year 5</t>
  </si>
  <si>
    <t>Consumption in Guarantee Year 6 [kWh]</t>
  </si>
  <si>
    <t>CO2 Emissions in Year 6</t>
  </si>
  <si>
    <t>Consumption in Guarantee Year 7 [kWh]</t>
  </si>
  <si>
    <t>CO2 Emissions in Year 7</t>
  </si>
  <si>
    <t>Consumption in Guarantee Year 8 [kWh]</t>
  </si>
  <si>
    <t>CO2 Emissions in Year 8</t>
  </si>
  <si>
    <t>Consumption in Guarantee Year 9 [kWh]</t>
  </si>
  <si>
    <t>CO2 Emissions in Year 9</t>
  </si>
  <si>
    <t>Consumption in Guarantee Year 10 [kWh]</t>
  </si>
  <si>
    <t>CO2 Emissions in Year 10</t>
  </si>
  <si>
    <t>Consumption in Guarantee Year 11 [kWh]</t>
  </si>
  <si>
    <t>CO2 Emissions in Year 11</t>
  </si>
  <si>
    <t>Consumption in Guarantee Year 12 [kWh]</t>
  </si>
  <si>
    <t>CO2 Emissions in Year 12</t>
  </si>
  <si>
    <t>Consumption in Guarantee Year 13 [kWh]</t>
  </si>
  <si>
    <t>CO2 Emissions in Year 13</t>
  </si>
  <si>
    <t>Electricity</t>
  </si>
  <si>
    <t>Maintenance</t>
  </si>
  <si>
    <t>Service Fee</t>
  </si>
  <si>
    <t>TOTAL</t>
  </si>
  <si>
    <t>SAVINGS</t>
  </si>
  <si>
    <t>ENERGY SAVINGS MODEL | PORTFOLIO DEMO</t>
  </si>
  <si>
    <t>An anonymized Excel case study demonstrating linked assumptions, projections, actuals, cost savings, and CO2 impact.</t>
  </si>
  <si>
    <t>STORY IN BRIEF</t>
  </si>
  <si>
    <t>SHEET</t>
  </si>
  <si>
    <t>PURPOSE</t>
  </si>
  <si>
    <t>General Data</t>
  </si>
  <si>
    <t>Project assumptions, guarantee terms, system capacity, and key savings outputs</t>
  </si>
  <si>
    <t>Monthly and quarterly projected electricity consumption and cost</t>
  </si>
  <si>
    <t>Year 1</t>
  </si>
  <si>
    <t>Illustrative monthly actuals with quarterly and trend comparisons</t>
  </si>
  <si>
    <t>Operating Costs</t>
  </si>
  <si>
    <t>Fifteen-year operating-cost and guaranteed-savings performance</t>
  </si>
  <si>
    <t>CO2 Impact</t>
  </si>
  <si>
    <t>Electricity savings and avoided CO2 emissions by year</t>
  </si>
  <si>
    <t>Cost Comparison</t>
  </si>
  <si>
    <t>Before/after reconstruction cost composition for Year 1</t>
  </si>
  <si>
    <t>Fifteen-year price escalation and electricity cost scenario</t>
  </si>
  <si>
    <t>Average Price</t>
  </si>
  <si>
    <t>Monthly electricity tariff component model</t>
  </si>
  <si>
    <t>System Consumption</t>
  </si>
  <si>
    <t>Fifteen-year system consumption trend</t>
  </si>
  <si>
    <t>This fictional municipal LED retrofit reduces first-year electricity consumption from a 1,080,000 kWh baseline to 367,300 kWh — a 66.0% reduction. The linked model translates project assumptions into monthly projections, invoice actuals, operating-cost performance, energy-price scenarios, and an estimated 377.73 tonnes of avoided CO2 in Year 1. Yellow cells are illustrative inputs; calculated outputs remain live formulas. All names, identifiers, dates, and figures are invented for portfolio use.</t>
  </si>
  <si>
    <t>Electricity Savings [%]</t>
  </si>
  <si>
    <t>Consumption in Guarantee Year 14 [kWh]</t>
  </si>
  <si>
    <t>CO2 Emissions in Year 14</t>
  </si>
  <si>
    <t>Consumption in Guarantee Year 15 [kWh]</t>
  </si>
  <si>
    <t>CO2 Emissions in Year 15</t>
  </si>
  <si>
    <t>15-Year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</si>
</sst>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_-;\-* #,##0_-;_-* &quot;-&quot;_-;_-@_-"/>
    <numFmt numFmtId="165" formatCode="_-* #,##0.00\ [$€-1]_-;\-* #,##0.00\ [$€-1]_-;_-* &quot;-&quot;??\ [$€-1]_-;_-@_-"/>
    <numFmt numFmtId="166" formatCode="_-* #,##0.00\ [$RSD]_-;\-* #,##0.00\ [$RSD]_-;_-* &quot;-&quot;??\ [$RSD]_-;_-@_-"/>
    <numFmt numFmtId="167" formatCode="0.0%"/>
    <numFmt numFmtId="168" formatCode="_-* #,##0.00_-;\-* #,##0.00_-;_-* &quot;-&quot;_-;_-@_-"/>
    <numFmt numFmtId="169" formatCode="0.00000"/>
    <numFmt numFmtId="170" formatCode="_-* #,##0.000_-;\-* #,##0.000_-;_-* &quot;-&quot;_-;_-@_-"/>
    <numFmt numFmtId="171" formatCode="_-* #,##0.00\ _R_S_D_-;\-* #,##0.00\ _R_S_D_-;_-* &quot;-&quot;??\ _R_S_D_-;_-@_-"/>
    <numFmt numFmtId="172" formatCode="0.0000"/>
    <numFmt numFmtId="173" formatCode="mmm\ d\,\ yyyy"/>
    <numFmt numFmtId="174" formatCode="\€#,##0"/>
    <numFmt numFmtId="175" formatCode="\€#,##0.00"/>
    <numFmt numFmtId="176" formatCode="0\ &quot;years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20"/>
      <color rgb="FFFFFFFF"/>
      <name val="Aptos"/>
    </font>
    <font>
      <b/>
      <sz val="10"/>
      <color rgb="FFFFFFFF"/>
      <name val="Aptos"/>
    </font>
    <font>
      <i/>
      <sz val="10"/>
      <color rgb="FF666666"/>
      <name val="Aptos"/>
    </font>
    <font>
      <b/>
      <sz val="10"/>
      <color rgb="FF2F75B5"/>
      <name val="Aptos"/>
    </font>
    <font>
      <b/>
      <sz val="16"/>
      <color rgb="FFFFFFFF"/>
      <name val="Aptos"/>
    </font>
    <font>
      <b/>
      <sz val="10"/>
      <color rgb="FF243447"/>
      <name val="Aptos"/>
    </font>
    <font>
      <sz val="10"/>
      <color rgb="FF243447"/>
      <name val="Aptos"/>
    </font>
    <font>
      <b/>
      <sz val="10"/>
      <color rgb="FF17365D"/>
      <name val="Aptos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4B18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hair">
        <color rgb="FFD6DEE8"/>
      </left>
      <right style="hair">
        <color rgb="FFD6DEE8"/>
      </right>
      <top style="hair">
        <color rgb="FFD6DEE8"/>
      </top>
      <bottom style="hair">
        <color rgb="FFD6DEE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 wrapText="1"/>
    </xf>
    <xf numFmtId="0" fontId="2" fillId="0" borderId="0" xfId="0" applyFont="1"/>
    <xf numFmtId="2" fontId="2" fillId="0" borderId="0" xfId="0" applyNumberFormat="1" applyFont="1"/>
    <xf numFmtId="0" fontId="4" fillId="0" borderId="0" xfId="0" applyFont="1" applyAlignment="1">
      <alignment horizontal="center" wrapText="1"/>
    </xf>
    <xf numFmtId="164" fontId="0" fillId="0" borderId="0" xfId="2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8" fillId="7" borderId="0" xfId="0" applyFont="1" applyFill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vertical="center"/>
    </xf>
    <xf numFmtId="0" fontId="8" fillId="7" borderId="5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/>
    </xf>
    <xf numFmtId="0" fontId="11" fillId="6" borderId="4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5" borderId="0" xfId="0" applyFont="1" applyFill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 wrapText="1"/>
    </xf>
    <xf numFmtId="173" fontId="12" fillId="0" borderId="6" xfId="0" applyNumberFormat="1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8" borderId="1" xfId="0" applyFont="1" applyFill="1" applyBorder="1" applyAlignment="1">
      <alignment vertical="center"/>
    </xf>
    <xf numFmtId="173" fontId="13" fillId="5" borderId="1" xfId="0" applyNumberFormat="1" applyFont="1" applyFill="1" applyBorder="1" applyAlignment="1">
      <alignment vertical="center"/>
    </xf>
    <xf numFmtId="14" fontId="13" fillId="0" borderId="0" xfId="0" applyNumberFormat="1" applyFont="1" applyAlignment="1">
      <alignment vertical="center"/>
    </xf>
    <xf numFmtId="0" fontId="13" fillId="0" borderId="1" xfId="0" applyFont="1" applyBorder="1" applyAlignment="1">
      <alignment vertical="center"/>
    </xf>
    <xf numFmtId="167" fontId="13" fillId="0" borderId="0" xfId="1" applyNumberFormat="1" applyFont="1" applyAlignment="1">
      <alignment vertical="center"/>
    </xf>
    <xf numFmtId="176" fontId="13" fillId="5" borderId="1" xfId="0" applyNumberFormat="1" applyFont="1" applyFill="1" applyBorder="1" applyAlignment="1">
      <alignment horizontal="right" vertical="center"/>
    </xf>
    <xf numFmtId="173" fontId="13" fillId="0" borderId="1" xfId="0" applyNumberFormat="1" applyFont="1" applyBorder="1" applyAlignment="1">
      <alignment vertical="center"/>
    </xf>
    <xf numFmtId="174" fontId="13" fillId="5" borderId="1" xfId="2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4" fontId="12" fillId="5" borderId="1" xfId="2" applyNumberFormat="1" applyFont="1" applyFill="1" applyBorder="1" applyAlignment="1">
      <alignment horizontal="center" vertical="center"/>
    </xf>
    <xf numFmtId="168" fontId="13" fillId="0" borderId="0" xfId="2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2" fontId="13" fillId="0" borderId="1" xfId="0" applyNumberFormat="1" applyFont="1" applyBorder="1" applyAlignment="1">
      <alignment vertical="center"/>
    </xf>
    <xf numFmtId="2" fontId="13" fillId="0" borderId="1" xfId="0" applyNumberFormat="1" applyFont="1" applyBorder="1" applyAlignment="1">
      <alignment horizontal="right" vertical="center"/>
    </xf>
    <xf numFmtId="10" fontId="13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4" fontId="13" fillId="5" borderId="1" xfId="0" applyNumberFormat="1" applyFont="1" applyFill="1" applyBorder="1" applyAlignment="1">
      <alignment vertical="center"/>
    </xf>
    <xf numFmtId="165" fontId="13" fillId="0" borderId="1" xfId="0" applyNumberFormat="1" applyFont="1" applyBorder="1" applyAlignment="1">
      <alignment vertical="center"/>
    </xf>
    <xf numFmtId="166" fontId="12" fillId="5" borderId="1" xfId="0" applyNumberFormat="1" applyFont="1" applyFill="1" applyBorder="1" applyAlignment="1">
      <alignment vertical="center"/>
    </xf>
    <xf numFmtId="165" fontId="12" fillId="8" borderId="1" xfId="0" applyNumberFormat="1" applyFont="1" applyFill="1" applyBorder="1" applyAlignment="1">
      <alignment vertical="center"/>
    </xf>
    <xf numFmtId="165" fontId="13" fillId="0" borderId="0" xfId="0" applyNumberFormat="1" applyFont="1" applyAlignment="1">
      <alignment vertical="center"/>
    </xf>
    <xf numFmtId="172" fontId="13" fillId="5" borderId="1" xfId="0" applyNumberFormat="1" applyFont="1" applyFill="1" applyBorder="1" applyAlignment="1">
      <alignment vertical="center"/>
    </xf>
    <xf numFmtId="166" fontId="13" fillId="0" borderId="0" xfId="0" applyNumberFormat="1" applyFont="1" applyAlignment="1">
      <alignment vertical="center"/>
    </xf>
    <xf numFmtId="2" fontId="13" fillId="5" borderId="1" xfId="0" applyNumberFormat="1" applyFont="1" applyFill="1" applyBorder="1" applyAlignment="1">
      <alignment vertical="center"/>
    </xf>
    <xf numFmtId="170" fontId="13" fillId="5" borderId="1" xfId="2" applyNumberFormat="1" applyFont="1" applyFill="1" applyBorder="1" applyAlignment="1" applyProtection="1">
      <alignment horizontal="center" vertical="center" wrapText="1"/>
      <protection locked="0"/>
    </xf>
    <xf numFmtId="4" fontId="13" fillId="5" borderId="1" xfId="2" applyNumberFormat="1" applyFont="1" applyFill="1" applyBorder="1" applyAlignment="1" applyProtection="1">
      <alignment horizontal="center" vertical="center" wrapText="1"/>
      <protection locked="0"/>
    </xf>
    <xf numFmtId="4" fontId="13" fillId="0" borderId="1" xfId="2" applyNumberFormat="1" applyFont="1" applyFill="1" applyBorder="1" applyAlignment="1" applyProtection="1">
      <alignment horizontal="center" vertical="center" wrapText="1"/>
      <protection locked="0"/>
    </xf>
    <xf numFmtId="168" fontId="13" fillId="0" borderId="0" xfId="2" applyNumberFormat="1" applyFont="1" applyFill="1" applyAlignment="1">
      <alignment vertical="center"/>
    </xf>
    <xf numFmtId="2" fontId="12" fillId="0" borderId="1" xfId="0" applyNumberFormat="1" applyFont="1" applyBorder="1" applyAlignment="1">
      <alignment horizontal="right" vertical="center"/>
    </xf>
    <xf numFmtId="167" fontId="12" fillId="0" borderId="1" xfId="0" applyNumberFormat="1" applyFont="1" applyBorder="1" applyAlignment="1">
      <alignment horizontal="center" vertical="center"/>
    </xf>
    <xf numFmtId="4" fontId="13" fillId="0" borderId="1" xfId="2" applyNumberFormat="1" applyFont="1" applyBorder="1" applyAlignment="1">
      <alignment vertical="center"/>
    </xf>
    <xf numFmtId="4" fontId="13" fillId="5" borderId="1" xfId="2" applyNumberFormat="1" applyFont="1" applyFill="1" applyBorder="1" applyAlignment="1">
      <alignment vertical="center"/>
    </xf>
    <xf numFmtId="165" fontId="13" fillId="5" borderId="1" xfId="2" applyNumberFormat="1" applyFont="1" applyFill="1" applyBorder="1" applyAlignment="1">
      <alignment vertical="center"/>
    </xf>
    <xf numFmtId="167" fontId="13" fillId="5" borderId="1" xfId="1" applyNumberFormat="1" applyFont="1" applyFill="1" applyBorder="1" applyAlignment="1">
      <alignment vertical="center"/>
    </xf>
    <xf numFmtId="167" fontId="13" fillId="5" borderId="0" xfId="1" applyNumberFormat="1" applyFont="1" applyFill="1" applyBorder="1" applyAlignment="1">
      <alignment vertical="center"/>
    </xf>
    <xf numFmtId="164" fontId="13" fillId="5" borderId="0" xfId="2" applyFont="1" applyFill="1" applyAlignment="1">
      <alignment vertical="center"/>
    </xf>
    <xf numFmtId="0" fontId="13" fillId="0" borderId="13" xfId="0" applyFont="1" applyBorder="1" applyAlignment="1">
      <alignment vertical="center"/>
    </xf>
    <xf numFmtId="168" fontId="13" fillId="5" borderId="1" xfId="2" applyNumberFormat="1" applyFont="1" applyFill="1" applyBorder="1" applyAlignment="1">
      <alignment vertical="center"/>
    </xf>
    <xf numFmtId="168" fontId="13" fillId="0" borderId="1" xfId="2" applyNumberFormat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168" fontId="13" fillId="3" borderId="1" xfId="2" applyNumberFormat="1" applyFont="1" applyFill="1" applyBorder="1" applyAlignment="1">
      <alignment vertical="center"/>
    </xf>
    <xf numFmtId="171" fontId="13" fillId="0" borderId="0" xfId="0" applyNumberFormat="1" applyFont="1" applyAlignment="1">
      <alignment vertical="center"/>
    </xf>
    <xf numFmtId="0" fontId="13" fillId="0" borderId="2" xfId="0" applyFont="1" applyBorder="1" applyAlignment="1">
      <alignment vertical="center" wrapText="1"/>
    </xf>
    <xf numFmtId="2" fontId="13" fillId="8" borderId="1" xfId="0" applyNumberFormat="1" applyFont="1" applyFill="1" applyBorder="1" applyAlignment="1">
      <alignment vertical="center"/>
    </xf>
    <xf numFmtId="168" fontId="13" fillId="8" borderId="1" xfId="2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2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2" fontId="13" fillId="0" borderId="8" xfId="0" applyNumberFormat="1" applyFont="1" applyBorder="1" applyAlignment="1">
      <alignment vertical="center"/>
    </xf>
    <xf numFmtId="2" fontId="13" fillId="0" borderId="10" xfId="0" applyNumberFormat="1" applyFont="1" applyBorder="1" applyAlignment="1">
      <alignment vertical="center"/>
    </xf>
    <xf numFmtId="2" fontId="13" fillId="0" borderId="12" xfId="0" applyNumberFormat="1" applyFont="1" applyBorder="1" applyAlignment="1">
      <alignment vertical="center"/>
    </xf>
    <xf numFmtId="2" fontId="13" fillId="0" borderId="0" xfId="0" applyNumberFormat="1" applyFont="1" applyAlignment="1">
      <alignment vertical="center"/>
    </xf>
    <xf numFmtId="9" fontId="13" fillId="0" borderId="0" xfId="1" applyFont="1" applyAlignment="1">
      <alignment vertical="center"/>
    </xf>
    <xf numFmtId="2" fontId="12" fillId="0" borderId="6" xfId="0" applyNumberFormat="1" applyFont="1" applyBorder="1" applyAlignment="1">
      <alignment vertical="center"/>
    </xf>
    <xf numFmtId="166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7" fontId="13" fillId="0" borderId="0" xfId="1" applyNumberFormat="1" applyFont="1" applyBorder="1" applyAlignment="1">
      <alignment vertical="center"/>
    </xf>
    <xf numFmtId="0" fontId="13" fillId="8" borderId="1" xfId="0" applyFont="1" applyFill="1" applyBorder="1" applyAlignment="1">
      <alignment vertical="center" wrapText="1"/>
    </xf>
    <xf numFmtId="164" fontId="13" fillId="0" borderId="1" xfId="2" applyFont="1" applyBorder="1" applyAlignment="1">
      <alignment vertical="center"/>
    </xf>
    <xf numFmtId="0" fontId="13" fillId="9" borderId="9" xfId="0" applyFont="1" applyFill="1" applyBorder="1" applyAlignment="1">
      <alignment vertical="center"/>
    </xf>
    <xf numFmtId="0" fontId="13" fillId="9" borderId="7" xfId="0" applyFont="1" applyFill="1" applyBorder="1" applyAlignment="1">
      <alignment vertical="center"/>
    </xf>
    <xf numFmtId="0" fontId="13" fillId="9" borderId="11" xfId="0" applyFont="1" applyFill="1" applyBorder="1" applyAlignment="1">
      <alignment vertical="center"/>
    </xf>
    <xf numFmtId="2" fontId="13" fillId="9" borderId="10" xfId="0" applyNumberFormat="1" applyFont="1" applyFill="1" applyBorder="1" applyAlignment="1">
      <alignment vertical="center"/>
    </xf>
    <xf numFmtId="2" fontId="13" fillId="9" borderId="8" xfId="0" applyNumberFormat="1" applyFont="1" applyFill="1" applyBorder="1" applyAlignment="1">
      <alignment vertical="center"/>
    </xf>
    <xf numFmtId="2" fontId="13" fillId="9" borderId="12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168" fontId="13" fillId="9" borderId="1" xfId="2" applyNumberFormat="1" applyFont="1" applyFill="1" applyBorder="1" applyAlignment="1">
      <alignment vertical="center"/>
    </xf>
    <xf numFmtId="0" fontId="13" fillId="9" borderId="0" xfId="0" applyFont="1" applyFill="1" applyAlignment="1">
      <alignment vertical="center"/>
    </xf>
    <xf numFmtId="0" fontId="13" fillId="9" borderId="0" xfId="0" applyFont="1" applyFill="1" applyAlignment="1">
      <alignment vertical="center" wrapText="1"/>
    </xf>
    <xf numFmtId="167" fontId="13" fillId="5" borderId="0" xfId="1" applyNumberFormat="1" applyFont="1" applyFill="1" applyAlignment="1">
      <alignment vertical="center"/>
    </xf>
    <xf numFmtId="9" fontId="13" fillId="5" borderId="1" xfId="0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horizontal="right" vertical="center"/>
    </xf>
    <xf numFmtId="0" fontId="14" fillId="8" borderId="0" xfId="0" applyFont="1" applyFill="1" applyAlignment="1">
      <alignment vertical="center"/>
    </xf>
    <xf numFmtId="0" fontId="14" fillId="8" borderId="0" xfId="0" applyFont="1" applyFill="1" applyAlignment="1">
      <alignment horizontal="right" vertical="center"/>
    </xf>
    <xf numFmtId="2" fontId="14" fillId="8" borderId="0" xfId="0" applyNumberFormat="1" applyFont="1" applyFill="1" applyAlignment="1">
      <alignment vertical="center"/>
    </xf>
    <xf numFmtId="0" fontId="14" fillId="8" borderId="1" xfId="0" applyFont="1" applyFill="1" applyBorder="1" applyAlignment="1">
      <alignment horizontal="right" vertical="center"/>
    </xf>
    <xf numFmtId="0" fontId="14" fillId="8" borderId="1" xfId="0" applyFont="1" applyFill="1" applyBorder="1" applyAlignment="1">
      <alignment vertical="center"/>
    </xf>
    <xf numFmtId="2" fontId="14" fillId="8" borderId="1" xfId="2" applyNumberFormat="1" applyFont="1" applyFill="1" applyBorder="1" applyAlignment="1">
      <alignment vertical="center"/>
    </xf>
    <xf numFmtId="167" fontId="14" fillId="8" borderId="1" xfId="1" applyNumberFormat="1" applyFont="1" applyFill="1" applyBorder="1" applyAlignment="1">
      <alignment vertical="center"/>
    </xf>
    <xf numFmtId="9" fontId="14" fillId="8" borderId="1" xfId="1" applyFont="1" applyFill="1" applyBorder="1" applyAlignment="1">
      <alignment vertical="center"/>
    </xf>
    <xf numFmtId="0" fontId="14" fillId="8" borderId="0" xfId="0" applyFont="1" applyFill="1" applyAlignment="1">
      <alignment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vertical="center"/>
    </xf>
    <xf numFmtId="0" fontId="13" fillId="9" borderId="15" xfId="0" applyFont="1" applyFill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4" fontId="13" fillId="0" borderId="15" xfId="0" applyNumberFormat="1" applyFont="1" applyBorder="1" applyAlignment="1">
      <alignment vertical="center"/>
    </xf>
    <xf numFmtId="0" fontId="13" fillId="9" borderId="15" xfId="0" applyFont="1" applyFill="1" applyBorder="1" applyAlignment="1">
      <alignment vertical="center"/>
    </xf>
    <xf numFmtId="4" fontId="13" fillId="9" borderId="15" xfId="0" applyNumberFormat="1" applyFont="1" applyFill="1" applyBorder="1" applyAlignment="1">
      <alignment vertical="center"/>
    </xf>
    <xf numFmtId="0" fontId="14" fillId="8" borderId="15" xfId="0" applyFont="1" applyFill="1" applyBorder="1" applyAlignment="1">
      <alignment vertical="center"/>
    </xf>
    <xf numFmtId="4" fontId="14" fillId="8" borderId="15" xfId="0" applyNumberFormat="1" applyFont="1" applyFill="1" applyBorder="1" applyAlignment="1">
      <alignment vertical="center"/>
    </xf>
    <xf numFmtId="2" fontId="14" fillId="8" borderId="15" xfId="0" applyNumberFormat="1" applyFont="1" applyFill="1" applyBorder="1" applyAlignment="1">
      <alignment vertical="center"/>
    </xf>
    <xf numFmtId="4" fontId="13" fillId="5" borderId="15" xfId="2" applyNumberFormat="1" applyFont="1" applyFill="1" applyBorder="1" applyAlignment="1">
      <alignment horizontal="center" vertical="center" wrapText="1"/>
    </xf>
    <xf numFmtId="4" fontId="13" fillId="0" borderId="15" xfId="2" applyNumberFormat="1" applyFont="1" applyBorder="1" applyAlignment="1">
      <alignment horizontal="center" vertical="center" wrapText="1"/>
    </xf>
    <xf numFmtId="4" fontId="13" fillId="9" borderId="15" xfId="2" applyNumberFormat="1" applyFont="1" applyFill="1" applyBorder="1" applyAlignment="1">
      <alignment horizontal="center" vertical="center" wrapText="1"/>
    </xf>
    <xf numFmtId="4" fontId="13" fillId="5" borderId="15" xfId="2" applyNumberFormat="1" applyFont="1" applyFill="1" applyBorder="1" applyAlignment="1">
      <alignment horizontal="center" vertical="center"/>
    </xf>
    <xf numFmtId="4" fontId="13" fillId="0" borderId="15" xfId="2" applyNumberFormat="1" applyFont="1" applyBorder="1" applyAlignment="1">
      <alignment horizontal="center" vertical="center"/>
    </xf>
    <xf numFmtId="4" fontId="13" fillId="9" borderId="15" xfId="2" applyNumberFormat="1" applyFont="1" applyFill="1" applyBorder="1" applyAlignment="1">
      <alignment horizontal="center" vertical="center"/>
    </xf>
    <xf numFmtId="4" fontId="13" fillId="0" borderId="15" xfId="2" applyNumberFormat="1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right" vertical="center"/>
    </xf>
    <xf numFmtId="4" fontId="14" fillId="8" borderId="15" xfId="2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/>
    </xf>
    <xf numFmtId="175" fontId="13" fillId="0" borderId="15" xfId="0" applyNumberFormat="1" applyFont="1" applyBorder="1" applyAlignment="1">
      <alignment vertical="center"/>
    </xf>
    <xf numFmtId="167" fontId="12" fillId="10" borderId="15" xfId="1" applyNumberFormat="1" applyFont="1" applyFill="1" applyBorder="1" applyAlignment="1">
      <alignment vertical="center"/>
    </xf>
    <xf numFmtId="0" fontId="13" fillId="9" borderId="15" xfId="0" applyFont="1" applyFill="1" applyBorder="1" applyAlignment="1">
      <alignment horizontal="center" vertical="center"/>
    </xf>
    <xf numFmtId="175" fontId="13" fillId="9" borderId="15" xfId="0" applyNumberFormat="1" applyFont="1" applyFill="1" applyBorder="1" applyAlignment="1">
      <alignment vertical="center"/>
    </xf>
    <xf numFmtId="0" fontId="11" fillId="6" borderId="5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164" fontId="8" fillId="7" borderId="15" xfId="2" applyFont="1" applyFill="1" applyBorder="1" applyAlignment="1">
      <alignment horizontal="center" vertical="center" wrapText="1"/>
    </xf>
    <xf numFmtId="168" fontId="8" fillId="7" borderId="15" xfId="2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vertical="center" wrapText="1"/>
    </xf>
    <xf numFmtId="164" fontId="13" fillId="0" borderId="15" xfId="0" applyNumberFormat="1" applyFont="1" applyBorder="1" applyAlignment="1">
      <alignment vertical="center" wrapText="1"/>
    </xf>
    <xf numFmtId="168" fontId="13" fillId="0" borderId="15" xfId="2" applyNumberFormat="1" applyFont="1" applyBorder="1" applyAlignment="1">
      <alignment vertical="center" wrapText="1"/>
    </xf>
    <xf numFmtId="167" fontId="13" fillId="0" borderId="15" xfId="1" applyNumberFormat="1" applyFont="1" applyBorder="1" applyAlignment="1">
      <alignment vertical="center" wrapText="1"/>
    </xf>
    <xf numFmtId="164" fontId="13" fillId="0" borderId="15" xfId="2" applyFont="1" applyBorder="1" applyAlignment="1">
      <alignment vertical="center" wrapText="1"/>
    </xf>
    <xf numFmtId="164" fontId="13" fillId="9" borderId="15" xfId="0" applyNumberFormat="1" applyFont="1" applyFill="1" applyBorder="1" applyAlignment="1">
      <alignment vertical="center" wrapText="1"/>
    </xf>
    <xf numFmtId="168" fontId="13" fillId="9" borderId="15" xfId="2" applyNumberFormat="1" applyFont="1" applyFill="1" applyBorder="1" applyAlignment="1">
      <alignment vertical="center" wrapText="1"/>
    </xf>
    <xf numFmtId="167" fontId="13" fillId="9" borderId="15" xfId="1" applyNumberFormat="1" applyFont="1" applyFill="1" applyBorder="1" applyAlignment="1">
      <alignment vertical="center" wrapText="1"/>
    </xf>
    <xf numFmtId="164" fontId="13" fillId="9" borderId="15" xfId="2" applyFont="1" applyFill="1" applyBorder="1" applyAlignment="1">
      <alignment vertical="center" wrapText="1"/>
    </xf>
    <xf numFmtId="3" fontId="13" fillId="9" borderId="15" xfId="2" applyNumberFormat="1" applyFont="1" applyFill="1" applyBorder="1" applyAlignment="1">
      <alignment vertical="center" wrapText="1"/>
    </xf>
    <xf numFmtId="169" fontId="13" fillId="9" borderId="15" xfId="0" applyNumberFormat="1" applyFont="1" applyFill="1" applyBorder="1" applyAlignment="1">
      <alignment vertical="center" wrapText="1"/>
    </xf>
    <xf numFmtId="2" fontId="13" fillId="9" borderId="15" xfId="2" applyNumberFormat="1" applyFont="1" applyFill="1" applyBorder="1" applyAlignment="1">
      <alignment vertical="center" wrapText="1"/>
    </xf>
    <xf numFmtId="4" fontId="13" fillId="9" borderId="15" xfId="2" applyNumberFormat="1" applyFont="1" applyFill="1" applyBorder="1" applyAlignment="1">
      <alignment vertical="center" wrapText="1"/>
    </xf>
    <xf numFmtId="3" fontId="13" fillId="0" borderId="15" xfId="2" applyNumberFormat="1" applyFont="1" applyBorder="1" applyAlignment="1">
      <alignment vertical="center" wrapText="1"/>
    </xf>
    <xf numFmtId="169" fontId="13" fillId="0" borderId="15" xfId="0" applyNumberFormat="1" applyFont="1" applyBorder="1" applyAlignment="1">
      <alignment vertical="center" wrapText="1"/>
    </xf>
    <xf numFmtId="2" fontId="13" fillId="0" borderId="15" xfId="2" applyNumberFormat="1" applyFont="1" applyBorder="1" applyAlignment="1">
      <alignment vertical="center" wrapText="1"/>
    </xf>
    <xf numFmtId="4" fontId="13" fillId="0" borderId="15" xfId="2" applyNumberFormat="1" applyFont="1" applyBorder="1" applyAlignment="1">
      <alignment vertical="center" wrapText="1"/>
    </xf>
    <xf numFmtId="0" fontId="14" fillId="8" borderId="15" xfId="0" applyFont="1" applyFill="1" applyBorder="1" applyAlignment="1">
      <alignment vertical="center" wrapText="1"/>
    </xf>
    <xf numFmtId="168" fontId="13" fillId="0" borderId="15" xfId="0" applyNumberFormat="1" applyFont="1" applyBorder="1" applyAlignment="1">
      <alignment vertical="center" wrapText="1"/>
    </xf>
    <xf numFmtId="167" fontId="13" fillId="0" borderId="15" xfId="0" applyNumberFormat="1" applyFont="1" applyBorder="1" applyAlignment="1">
      <alignment vertical="center" wrapText="1"/>
    </xf>
    <xf numFmtId="168" fontId="13" fillId="9" borderId="15" xfId="0" applyNumberFormat="1" applyFont="1" applyFill="1" applyBorder="1" applyAlignment="1">
      <alignment vertical="center" wrapText="1"/>
    </xf>
    <xf numFmtId="167" fontId="13" fillId="9" borderId="15" xfId="0" applyNumberFormat="1" applyFont="1" applyFill="1" applyBorder="1" applyAlignment="1">
      <alignment vertical="center" wrapText="1"/>
    </xf>
    <xf numFmtId="4" fontId="13" fillId="9" borderId="15" xfId="0" applyNumberFormat="1" applyFont="1" applyFill="1" applyBorder="1" applyAlignment="1">
      <alignment vertical="center" wrapText="1"/>
    </xf>
    <xf numFmtId="3" fontId="13" fillId="9" borderId="15" xfId="0" applyNumberFormat="1" applyFont="1" applyFill="1" applyBorder="1" applyAlignment="1">
      <alignment vertical="center" wrapText="1"/>
    </xf>
    <xf numFmtId="4" fontId="13" fillId="0" borderId="15" xfId="0" applyNumberFormat="1" applyFont="1" applyBorder="1" applyAlignment="1">
      <alignment vertical="center" wrapText="1"/>
    </xf>
    <xf numFmtId="3" fontId="13" fillId="0" borderId="15" xfId="0" applyNumberFormat="1" applyFont="1" applyBorder="1" applyAlignment="1">
      <alignment vertical="center" wrapText="1"/>
    </xf>
    <xf numFmtId="4" fontId="14" fillId="8" borderId="15" xfId="0" applyNumberFormat="1" applyFont="1" applyFill="1" applyBorder="1" applyAlignment="1">
      <alignment vertical="center" wrapText="1"/>
    </xf>
    <xf numFmtId="167" fontId="14" fillId="8" borderId="15" xfId="1" applyNumberFormat="1" applyFont="1" applyFill="1" applyBorder="1" applyAlignment="1">
      <alignment vertical="center" wrapText="1"/>
    </xf>
    <xf numFmtId="3" fontId="14" fillId="8" borderId="15" xfId="0" applyNumberFormat="1" applyFont="1" applyFill="1" applyBorder="1" applyAlignment="1">
      <alignment vertical="center" wrapText="1"/>
    </xf>
    <xf numFmtId="0" fontId="13" fillId="8" borderId="15" xfId="0" applyFont="1" applyFill="1" applyBorder="1" applyAlignment="1">
      <alignment vertical="center"/>
    </xf>
    <xf numFmtId="165" fontId="13" fillId="0" borderId="15" xfId="0" applyNumberFormat="1" applyFont="1" applyBorder="1" applyAlignment="1">
      <alignment vertical="center"/>
    </xf>
    <xf numFmtId="165" fontId="14" fillId="8" borderId="15" xfId="0" applyNumberFormat="1" applyFont="1" applyFill="1" applyBorder="1" applyAlignment="1">
      <alignment vertical="center"/>
    </xf>
    <xf numFmtId="165" fontId="14" fillId="11" borderId="15" xfId="2" applyNumberFormat="1" applyFont="1" applyFill="1" applyBorder="1" applyAlignment="1">
      <alignment vertical="center"/>
    </xf>
    <xf numFmtId="175" fontId="13" fillId="0" borderId="15" xfId="2" applyNumberFormat="1" applyFont="1" applyBorder="1" applyAlignment="1">
      <alignment vertical="center"/>
    </xf>
    <xf numFmtId="167" fontId="13" fillId="0" borderId="15" xfId="1" applyNumberFormat="1" applyFont="1" applyBorder="1" applyAlignment="1">
      <alignment vertical="center"/>
    </xf>
    <xf numFmtId="172" fontId="13" fillId="0" borderId="15" xfId="0" applyNumberFormat="1" applyFont="1" applyBorder="1" applyAlignment="1">
      <alignment vertical="center"/>
    </xf>
    <xf numFmtId="175" fontId="13" fillId="9" borderId="15" xfId="2" applyNumberFormat="1" applyFont="1" applyFill="1" applyBorder="1" applyAlignment="1">
      <alignment vertical="center"/>
    </xf>
    <xf numFmtId="167" fontId="13" fillId="9" borderId="15" xfId="1" applyNumberFormat="1" applyFont="1" applyFill="1" applyBorder="1" applyAlignment="1">
      <alignment vertical="center"/>
    </xf>
    <xf numFmtId="172" fontId="13" fillId="9" borderId="15" xfId="0" applyNumberFormat="1" applyFont="1" applyFill="1" applyBorder="1" applyAlignment="1">
      <alignment vertical="center"/>
    </xf>
    <xf numFmtId="167" fontId="13" fillId="0" borderId="15" xfId="0" applyNumberFormat="1" applyFont="1" applyBorder="1" applyAlignment="1">
      <alignment vertical="center"/>
    </xf>
    <xf numFmtId="167" fontId="13" fillId="9" borderId="15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left" vertical="center"/>
    </xf>
    <xf numFmtId="172" fontId="13" fillId="5" borderId="15" xfId="0" applyNumberFormat="1" applyFont="1" applyFill="1" applyBorder="1" applyAlignment="1">
      <alignment horizontal="right" vertical="center"/>
    </xf>
    <xf numFmtId="172" fontId="13" fillId="0" borderId="15" xfId="0" applyNumberFormat="1" applyFont="1" applyBorder="1" applyAlignment="1">
      <alignment horizontal="right" vertical="center"/>
    </xf>
    <xf numFmtId="0" fontId="13" fillId="9" borderId="15" xfId="0" applyFont="1" applyFill="1" applyBorder="1" applyAlignment="1">
      <alignment horizontal="left" vertical="center"/>
    </xf>
    <xf numFmtId="172" fontId="13" fillId="9" borderId="15" xfId="0" applyNumberFormat="1" applyFont="1" applyFill="1" applyBorder="1" applyAlignment="1">
      <alignment horizontal="right" vertical="center"/>
    </xf>
    <xf numFmtId="172" fontId="14" fillId="8" borderId="15" xfId="0" applyNumberFormat="1" applyFont="1" applyFill="1" applyBorder="1" applyAlignment="1">
      <alignment vertical="center"/>
    </xf>
    <xf numFmtId="3" fontId="13" fillId="0" borderId="15" xfId="0" applyNumberFormat="1" applyFont="1" applyBorder="1" applyAlignment="1">
      <alignment horizontal="center" vertical="center"/>
    </xf>
    <xf numFmtId="3" fontId="13" fillId="9" borderId="15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7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4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74" fontId="13" fillId="5" borderId="5" xfId="0" applyNumberFormat="1" applyFont="1" applyFill="1" applyBorder="1" applyAlignment="1">
      <alignment horizontal="center" vertical="center"/>
    </xf>
    <xf numFmtId="165" fontId="13" fillId="5" borderId="6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3" fontId="12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16" fontId="12" fillId="0" borderId="15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94E86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Project Phase Completion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17365D"/>
              </a:solidFill>
              <a:ln>
                <a:solidFill>
                  <a:srgbClr val="17365D"/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054-4D74-8EF9-C9281DA656BD}"/>
              </c:ext>
            </c:extLst>
          </c:dPt>
          <c:dPt>
            <c:idx val="1"/>
            <c:invertIfNegative val="0"/>
            <c:bubble3D val="0"/>
            <c:spPr>
              <a:solidFill>
                <a:srgbClr val="17365D"/>
              </a:solidFill>
              <a:ln>
                <a:solidFill>
                  <a:srgbClr val="17365D"/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C054-4D74-8EF9-C9281DA656BD}"/>
              </c:ext>
            </c:extLst>
          </c:dPt>
          <c:cat>
            <c:strRef>
              <c:f>'General Data'!$A$12:$A$14</c:f>
              <c:strCache>
                <c:ptCount val="3"/>
                <c:pt idx="0">
                  <c:v>Preparation Phase:</c:v>
                </c:pt>
                <c:pt idx="1">
                  <c:v>Implementation Phase:</c:v>
                </c:pt>
                <c:pt idx="2">
                  <c:v>Guarantee Phase:</c:v>
                </c:pt>
              </c:strCache>
            </c:strRef>
          </c:cat>
          <c:val>
            <c:numRef>
              <c:f>'General Data'!$B$12:$B$14</c:f>
              <c:numCache>
                <c:formatCode>0.0%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2.4074074074074074E-2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C-4F17-BEEA-0EF8A1135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244984831"/>
        <c:axId val="1128367119"/>
      </c:barChart>
      <c:catAx>
        <c:axId val="124498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128367119"/>
        <c:crosses val="autoZero"/>
        <c:auto val="1"/>
        <c:lblAlgn val="ctr"/>
        <c:lblOffset val="100"/>
        <c:noMultiLvlLbl val="0"/>
      </c:catAx>
      <c:valAx>
        <c:axId val="11283671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24498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Monthly Actual vs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sr-Latn-RS"/>
        </a:p>
      </c:txPr>
    </c:title>
    <c:autoTitleDeleted val="0"/>
    <c:plotArea>
      <c:layout>
        <c:manualLayout>
          <c:layoutTarget val="inner"/>
          <c:xMode val="edge"/>
          <c:yMode val="edge"/>
          <c:x val="9.9141228719184529E-2"/>
          <c:y val="8.3421014218808209E-2"/>
          <c:w val="0.89277936149760451"/>
          <c:h val="0.74969781751723652"/>
        </c:manualLayout>
      </c:layout>
      <c:lineChart>
        <c:grouping val="standard"/>
        <c:varyColors val="0"/>
        <c:ser>
          <c:idx val="0"/>
          <c:order val="0"/>
          <c:tx>
            <c:strRef>
              <c:f>'Year 1'!$B$55</c:f>
              <c:strCache>
                <c:ptCount val="1"/>
                <c:pt idx="0">
                  <c:v>Actual [kWh]</c:v>
                </c:pt>
              </c:strCache>
            </c:strRef>
          </c:tx>
          <c:spPr>
            <a:ln w="34925" cap="rnd">
              <a:solidFill>
                <a:srgbClr val="17365D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'Year 1'!$A$56:$A$67</c:f>
              <c:strCache>
                <c:ptCount val="12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'Year 1'!$B$56:$B$67</c:f>
              <c:numCache>
                <c:formatCode>_-* #,##0.00_-;\-* #,##0.00_-;_-* "-"_-;_-@_-</c:formatCode>
                <c:ptCount val="12"/>
                <c:pt idx="0">
                  <c:v>34200</c:v>
                </c:pt>
                <c:pt idx="1">
                  <c:v>35500</c:v>
                </c:pt>
                <c:pt idx="2">
                  <c:v>37100</c:v>
                </c:pt>
                <c:pt idx="3">
                  <c:v>38000</c:v>
                </c:pt>
                <c:pt idx="4">
                  <c:v>38100</c:v>
                </c:pt>
                <c:pt idx="5">
                  <c:v>29800</c:v>
                </c:pt>
                <c:pt idx="6">
                  <c:v>28750</c:v>
                </c:pt>
                <c:pt idx="7">
                  <c:v>28500</c:v>
                </c:pt>
                <c:pt idx="8">
                  <c:v>24100</c:v>
                </c:pt>
                <c:pt idx="9">
                  <c:v>23500</c:v>
                </c:pt>
                <c:pt idx="10">
                  <c:v>24450</c:v>
                </c:pt>
                <c:pt idx="11">
                  <c:v>25300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1-43EE-BD3A-F4BC76EF1BEA}"/>
            </c:ext>
          </c:extLst>
        </c:ser>
        <c:ser>
          <c:idx val="1"/>
          <c:order val="1"/>
          <c:tx>
            <c:strRef>
              <c:f>'Year 1'!$C$55</c:f>
              <c:strCache>
                <c:ptCount val="1"/>
                <c:pt idx="0">
                  <c:v>Projection [kWh]</c:v>
                </c:pt>
              </c:strCache>
            </c:strRef>
          </c:tx>
          <c:spPr>
            <a:ln w="34925" cap="rnd">
              <a:solidFill>
                <a:srgbClr val="2F75B5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'Year 1'!$A$56:$A$67</c:f>
              <c:strCache>
                <c:ptCount val="12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'Year 1'!$C$56:$C$67</c:f>
              <c:numCache>
                <c:formatCode>_-* #,##0.00_-;\-* #,##0.00_-;_-* "-"_-;_-@_-</c:formatCode>
                <c:ptCount val="12"/>
                <c:pt idx="0">
                  <c:v>43563.297019056037</c:v>
                </c:pt>
                <c:pt idx="1">
                  <c:v>36113.303229355959</c:v>
                </c:pt>
                <c:pt idx="2">
                  <c:v>35251.637280972311</c:v>
                </c:pt>
                <c:pt idx="3">
                  <c:v>29181.642340907951</c:v>
                </c:pt>
                <c:pt idx="4">
                  <c:v>25579.978676580915</c:v>
                </c:pt>
                <c:pt idx="5">
                  <c:v>22311.648067721449</c:v>
                </c:pt>
                <c:pt idx="6">
                  <c:v>24124.979889464998</c:v>
                </c:pt>
                <c:pt idx="7">
                  <c:v>28103.309906470375</c:v>
                </c:pt>
                <c:pt idx="8">
                  <c:v>31961.640023507432</c:v>
                </c:pt>
                <c:pt idx="9">
                  <c:v>37943.301703872894</c:v>
                </c:pt>
                <c:pt idx="10">
                  <c:v>41056.632441939932</c:v>
                </c:pt>
                <c:pt idx="11">
                  <c:v>44681.6294201497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1-43EE-BD3A-F4BC76EF1BEA}"/>
            </c:ext>
          </c:extLst>
        </c:ser>
        <c:ser>
          <c:idx val="2"/>
          <c:order val="2"/>
          <c:tx>
            <c:strRef>
              <c:f>'Year 1'!$D$55</c:f>
              <c:strCache>
                <c:ptCount val="1"/>
                <c:pt idx="0">
                  <c:v>Average [kWh]</c:v>
                </c:pt>
              </c:strCache>
            </c:strRef>
          </c:tx>
          <c:spPr>
            <a:ln w="34925" cap="rnd">
              <a:solidFill>
                <a:srgbClr val="F4B183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'Year 1'!$A$56:$A$67</c:f>
              <c:strCache>
                <c:ptCount val="12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'Year 1'!$D$56:$D$67</c:f>
              <c:numCache>
                <c:formatCode>_-* #,##0.00_-;\-* #,##0.00_-;_-* "-"_-;_-@_-</c:formatCode>
                <c:ptCount val="12"/>
                <c:pt idx="0">
                  <c:v>30608.333333333332</c:v>
                </c:pt>
                <c:pt idx="1">
                  <c:v>30608.333333333332</c:v>
                </c:pt>
                <c:pt idx="2">
                  <c:v>30608.333333333332</c:v>
                </c:pt>
                <c:pt idx="3">
                  <c:v>30608.333333333332</c:v>
                </c:pt>
                <c:pt idx="4">
                  <c:v>30608.333333333332</c:v>
                </c:pt>
                <c:pt idx="5">
                  <c:v>30608.333333333332</c:v>
                </c:pt>
                <c:pt idx="6">
                  <c:v>30608.333333333332</c:v>
                </c:pt>
                <c:pt idx="7">
                  <c:v>30608.333333333332</c:v>
                </c:pt>
                <c:pt idx="8">
                  <c:v>30608.333333333332</c:v>
                </c:pt>
                <c:pt idx="9">
                  <c:v>30608.333333333332</c:v>
                </c:pt>
                <c:pt idx="10">
                  <c:v>30608.333333333332</c:v>
                </c:pt>
                <c:pt idx="11">
                  <c:v>30608.333333333332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1-43EE-BD3A-F4BC76EF1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807055"/>
        <c:axId val="1300555535"/>
      </c:lineChart>
      <c:catAx>
        <c:axId val="137680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300555535"/>
        <c:crosses val="autoZero"/>
        <c:auto val="1"/>
        <c:lblAlgn val="ctr"/>
        <c:lblOffset val="100"/>
        <c:noMultiLvlLbl val="0"/>
      </c:catAx>
      <c:valAx>
        <c:axId val="1300555535"/>
        <c:scaling>
          <c:orientation val="minMax"/>
          <c:max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37680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Quarter 1: Actual vs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1'!$A$28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1'!$B$27:$D$27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1'!$B$28:$D$28</c:f>
              <c:numCache>
                <c:formatCode>0.00</c:formatCode>
                <c:ptCount val="3"/>
                <c:pt idx="0">
                  <c:v>34200</c:v>
                </c:pt>
                <c:pt idx="1">
                  <c:v>35500</c:v>
                </c:pt>
                <c:pt idx="2">
                  <c:v>37100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A-4AB5-B2C3-D5933AB19E5D}"/>
            </c:ext>
          </c:extLst>
        </c:ser>
        <c:ser>
          <c:idx val="1"/>
          <c:order val="1"/>
          <c:tx>
            <c:strRef>
              <c:f>'Year 1'!$A$29</c:f>
              <c:strCache>
                <c:ptCount val="1"/>
                <c:pt idx="0">
                  <c:v>Projection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1'!$B$27:$D$27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1'!$B$29:$D$29</c:f>
              <c:numCache>
                <c:formatCode>0.00</c:formatCode>
                <c:ptCount val="3"/>
                <c:pt idx="0">
                  <c:v>31961.640023507432</c:v>
                </c:pt>
                <c:pt idx="1">
                  <c:v>37943.301703872894</c:v>
                </c:pt>
                <c:pt idx="2">
                  <c:v>41056.632441939932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A-4AB5-B2C3-D5933AB19E5D}"/>
            </c:ext>
          </c:extLst>
        </c:ser>
        <c:ser>
          <c:idx val="2"/>
          <c:order val="2"/>
          <c:tx>
            <c:strRef>
              <c:f>'Year 1'!$A$30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4B183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1'!$B$27:$D$27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1'!$B$30:$D$30</c:f>
              <c:numCache>
                <c:formatCode>0.00</c:formatCode>
                <c:ptCount val="3"/>
                <c:pt idx="0">
                  <c:v>2238.3599764925675</c:v>
                </c:pt>
                <c:pt idx="1">
                  <c:v>-2443.301703872894</c:v>
                </c:pt>
                <c:pt idx="2">
                  <c:v>-3956.6324419399316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8A-4AB5-B2C3-D5933AB19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09468063"/>
        <c:axId val="1850210431"/>
      </c:barChart>
      <c:catAx>
        <c:axId val="190946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850210431"/>
        <c:crosses val="autoZero"/>
        <c:auto val="1"/>
        <c:lblAlgn val="ctr"/>
        <c:lblOffset val="100"/>
        <c:noMultiLvlLbl val="0"/>
      </c:catAx>
      <c:valAx>
        <c:axId val="18502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9094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Quarter 2: Actual vs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1'!$A$35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1'!$B$34:$D$34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1'!$B$35:$D$35</c:f>
              <c:numCache>
                <c:formatCode>0.00</c:formatCode>
                <c:ptCount val="3"/>
                <c:pt idx="0">
                  <c:v>38000</c:v>
                </c:pt>
                <c:pt idx="1">
                  <c:v>38100</c:v>
                </c:pt>
                <c:pt idx="2">
                  <c:v>29800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F-48C6-8270-99ACFADBE929}"/>
            </c:ext>
          </c:extLst>
        </c:ser>
        <c:ser>
          <c:idx val="1"/>
          <c:order val="1"/>
          <c:tx>
            <c:strRef>
              <c:f>'Year 1'!$A$36</c:f>
              <c:strCache>
                <c:ptCount val="1"/>
                <c:pt idx="0">
                  <c:v>Projection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1'!$B$34:$D$34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1'!$B$36:$D$36</c:f>
              <c:numCache>
                <c:formatCode>0.00</c:formatCode>
                <c:ptCount val="3"/>
                <c:pt idx="0">
                  <c:v>44681.6294201497</c:v>
                </c:pt>
                <c:pt idx="1">
                  <c:v>43563.297019056037</c:v>
                </c:pt>
                <c:pt idx="2">
                  <c:v>36113.303229355959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F-48C6-8270-99ACFADBE929}"/>
            </c:ext>
          </c:extLst>
        </c:ser>
        <c:ser>
          <c:idx val="2"/>
          <c:order val="2"/>
          <c:tx>
            <c:strRef>
              <c:f>'Year 1'!$A$37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4B183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1'!$B$34:$D$34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1'!$B$37:$D$37</c:f>
              <c:numCache>
                <c:formatCode>0.00</c:formatCode>
                <c:ptCount val="3"/>
                <c:pt idx="0">
                  <c:v>-6681.6294201497003</c:v>
                </c:pt>
                <c:pt idx="1">
                  <c:v>-5463.2970190560372</c:v>
                </c:pt>
                <c:pt idx="2">
                  <c:v>-6313.303229355959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F-48C6-8270-99ACFADBE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09468063"/>
        <c:axId val="1850210431"/>
      </c:barChart>
      <c:catAx>
        <c:axId val="190946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850210431"/>
        <c:crosses val="autoZero"/>
        <c:auto val="1"/>
        <c:lblAlgn val="ctr"/>
        <c:lblOffset val="100"/>
        <c:noMultiLvlLbl val="0"/>
      </c:catAx>
      <c:valAx>
        <c:axId val="18502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9094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Quarter 3: Actual vs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1'!$A$42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1'!$B$41:$D$41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1'!$B$42:$D$42</c:f>
              <c:numCache>
                <c:formatCode>0.00</c:formatCode>
                <c:ptCount val="3"/>
                <c:pt idx="0">
                  <c:v>28750</c:v>
                </c:pt>
                <c:pt idx="1">
                  <c:v>28500</c:v>
                </c:pt>
                <c:pt idx="2">
                  <c:v>24100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9-4523-B65F-F2650976D21F}"/>
            </c:ext>
          </c:extLst>
        </c:ser>
        <c:ser>
          <c:idx val="1"/>
          <c:order val="1"/>
          <c:tx>
            <c:strRef>
              <c:f>'Year 1'!$A$43</c:f>
              <c:strCache>
                <c:ptCount val="1"/>
                <c:pt idx="0">
                  <c:v>Projection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1'!$B$41:$D$41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1'!$B$43:$D$43</c:f>
              <c:numCache>
                <c:formatCode>0.00</c:formatCode>
                <c:ptCount val="3"/>
                <c:pt idx="0">
                  <c:v>35251.637280972311</c:v>
                </c:pt>
                <c:pt idx="1">
                  <c:v>29181.642340907951</c:v>
                </c:pt>
                <c:pt idx="2">
                  <c:v>25579.978676580915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9-4523-B65F-F2650976D21F}"/>
            </c:ext>
          </c:extLst>
        </c:ser>
        <c:ser>
          <c:idx val="2"/>
          <c:order val="2"/>
          <c:tx>
            <c:strRef>
              <c:f>'Year 1'!$A$44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4B183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1'!$B$41:$D$41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1'!$B$44:$D$44</c:f>
              <c:numCache>
                <c:formatCode>0.00</c:formatCode>
                <c:ptCount val="3"/>
                <c:pt idx="0">
                  <c:v>-6501.6372809723107</c:v>
                </c:pt>
                <c:pt idx="1">
                  <c:v>-681.64234090795071</c:v>
                </c:pt>
                <c:pt idx="2">
                  <c:v>-1479.9786765809149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9-4523-B65F-F2650976D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09468063"/>
        <c:axId val="1850210431"/>
      </c:barChart>
      <c:catAx>
        <c:axId val="190946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850210431"/>
        <c:crosses val="autoZero"/>
        <c:auto val="1"/>
        <c:lblAlgn val="ctr"/>
        <c:lblOffset val="100"/>
        <c:noMultiLvlLbl val="0"/>
      </c:catAx>
      <c:valAx>
        <c:axId val="18502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9094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Quarter 4: Actual vs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1'!$A$49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1'!$B$48:$D$48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1'!$B$49:$D$49</c:f>
              <c:numCache>
                <c:formatCode>0.00</c:formatCode>
                <c:ptCount val="3"/>
                <c:pt idx="0">
                  <c:v>23500</c:v>
                </c:pt>
                <c:pt idx="1">
                  <c:v>24450</c:v>
                </c:pt>
                <c:pt idx="2">
                  <c:v>25300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8-4FB2-8CE8-EC10C59180F1}"/>
            </c:ext>
          </c:extLst>
        </c:ser>
        <c:ser>
          <c:idx val="1"/>
          <c:order val="1"/>
          <c:tx>
            <c:strRef>
              <c:f>'Year 1'!$A$50</c:f>
              <c:strCache>
                <c:ptCount val="1"/>
                <c:pt idx="0">
                  <c:v>Projection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1'!$B$48:$D$48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1'!$B$50:$D$50</c:f>
              <c:numCache>
                <c:formatCode>0.00</c:formatCode>
                <c:ptCount val="3"/>
                <c:pt idx="0">
                  <c:v>22311.648067721449</c:v>
                </c:pt>
                <c:pt idx="1">
                  <c:v>24124.979889464998</c:v>
                </c:pt>
                <c:pt idx="2">
                  <c:v>28103.309906470375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8-4FB2-8CE8-EC10C59180F1}"/>
            </c:ext>
          </c:extLst>
        </c:ser>
        <c:ser>
          <c:idx val="2"/>
          <c:order val="2"/>
          <c:tx>
            <c:strRef>
              <c:f>'Year 1'!$A$51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4B183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'Year 1'!$B$48:$D$48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'Year 1'!$B$51:$D$51</c:f>
              <c:numCache>
                <c:formatCode>0.00</c:formatCode>
                <c:ptCount val="3"/>
                <c:pt idx="0">
                  <c:v>1188.3519322785505</c:v>
                </c:pt>
                <c:pt idx="1">
                  <c:v>325.02011053500246</c:v>
                </c:pt>
                <c:pt idx="2">
                  <c:v>-2803.3099064703747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8-4FB2-8CE8-EC10C591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09468063"/>
        <c:axId val="1850210431"/>
      </c:barChart>
      <c:catAx>
        <c:axId val="190946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850210431"/>
        <c:crosses val="autoZero"/>
        <c:auto val="1"/>
        <c:lblAlgn val="ctr"/>
        <c:lblOffset val="100"/>
        <c:noMultiLvlLbl val="0"/>
      </c:catAx>
      <c:valAx>
        <c:axId val="18502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9094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Operating Costs by Guarantee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'Operating Costs'!$B$2</c:f>
              <c:strCache>
                <c:ptCount val="1"/>
                <c:pt idx="0">
                  <c:v>Maintenance Cost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/>
          </c:spPr>
          <c:invertIfNegative val="0"/>
          <c:cat>
            <c:numRef>
              <c:f>'Operating Costs'!$A$3:$A$17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'Operating Costs'!$B$3:$B$17</c:f>
              <c:numCache>
                <c:formatCode>\€#,##0.00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2-4365-B608-801FC8829F99}"/>
            </c:ext>
          </c:extLst>
        </c:ser>
        <c:ser>
          <c:idx val="1"/>
          <c:order val="1"/>
          <c:tx>
            <c:strRef>
              <c:f>'Operating Costs'!$C$2</c:f>
              <c:strCache>
                <c:ptCount val="1"/>
                <c:pt idx="0">
                  <c:v>Electricity Cost at Reference Price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/>
          </c:spPr>
          <c:invertIfNegative val="0"/>
          <c:cat>
            <c:numRef>
              <c:f>'Operating Costs'!$A$3:$A$17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'Operating Costs'!$C$3:$C$17</c:f>
              <c:numCache>
                <c:formatCode>\€#,##0.00</c:formatCode>
                <c:ptCount val="15"/>
                <c:pt idx="0">
                  <c:v>24405.652991452993</c:v>
                </c:pt>
                <c:pt idx="1">
                  <c:v>27576.258404908112</c:v>
                </c:pt>
                <c:pt idx="2">
                  <c:v>28180.867870435723</c:v>
                </c:pt>
                <c:pt idx="3">
                  <c:v>28798.733398495024</c:v>
                </c:pt>
                <c:pt idx="4">
                  <c:v>29430.145628257025</c:v>
                </c:pt>
                <c:pt idx="5">
                  <c:v>30075.401571156555</c:v>
                </c:pt>
                <c:pt idx="6">
                  <c:v>30734.804750604162</c:v>
                </c:pt>
                <c:pt idx="7">
                  <c:v>28345</c:v>
                </c:pt>
                <c:pt idx="8">
                  <c:v>25234</c:v>
                </c:pt>
                <c:pt idx="9">
                  <c:v>25000</c:v>
                </c:pt>
                <c:pt idx="10">
                  <c:v>25555</c:v>
                </c:pt>
                <c:pt idx="11">
                  <c:v>24987</c:v>
                </c:pt>
                <c:pt idx="12">
                  <c:v>26987</c:v>
                </c:pt>
                <c:pt idx="13">
                  <c:v>25678</c:v>
                </c:pt>
                <c:pt idx="14">
                  <c:v>25900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2-4365-B608-801FC8829F99}"/>
            </c:ext>
          </c:extLst>
        </c:ser>
        <c:ser>
          <c:idx val="2"/>
          <c:order val="2"/>
          <c:tx>
            <c:strRef>
              <c:f>'Operating Costs'!$D$2</c:f>
              <c:strCache>
                <c:ptCount val="1"/>
                <c:pt idx="0">
                  <c:v>Operating Cost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4B183"/>
              </a:solidFill>
              <a:prstDash val="solid"/>
            </a:ln>
            <a:effectLst/>
          </c:spPr>
          <c:invertIfNegative val="0"/>
          <c:cat>
            <c:numRef>
              <c:f>'Operating Costs'!$A$3:$A$17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'Operating Costs'!$D$3:$D$17</c:f>
              <c:numCache>
                <c:formatCode>\€#,##0.00</c:formatCode>
                <c:ptCount val="15"/>
                <c:pt idx="0">
                  <c:v>24405.652991452993</c:v>
                </c:pt>
                <c:pt idx="1">
                  <c:v>27576.258404908112</c:v>
                </c:pt>
                <c:pt idx="2">
                  <c:v>28180.867870435723</c:v>
                </c:pt>
                <c:pt idx="3">
                  <c:v>28798.733398495024</c:v>
                </c:pt>
                <c:pt idx="4">
                  <c:v>29430.145628257025</c:v>
                </c:pt>
                <c:pt idx="5">
                  <c:v>30075.401571156555</c:v>
                </c:pt>
                <c:pt idx="6">
                  <c:v>30734.804750604162</c:v>
                </c:pt>
                <c:pt idx="7">
                  <c:v>28345</c:v>
                </c:pt>
                <c:pt idx="8">
                  <c:v>25234</c:v>
                </c:pt>
                <c:pt idx="9">
                  <c:v>25000</c:v>
                </c:pt>
                <c:pt idx="10">
                  <c:v>25555</c:v>
                </c:pt>
                <c:pt idx="11">
                  <c:v>24987</c:v>
                </c:pt>
                <c:pt idx="12">
                  <c:v>26987</c:v>
                </c:pt>
                <c:pt idx="13">
                  <c:v>25678</c:v>
                </c:pt>
                <c:pt idx="14">
                  <c:v>25900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22-4365-B608-801FC8829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9248175"/>
        <c:axId val="350375503"/>
      </c:barChart>
      <c:catAx>
        <c:axId val="3492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350375503"/>
        <c:crosses val="autoZero"/>
        <c:auto val="1"/>
        <c:lblAlgn val="ctr"/>
        <c:lblOffset val="100"/>
        <c:noMultiLvlLbl val="0"/>
      </c:catAx>
      <c:valAx>
        <c:axId val="3503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€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34924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Savings Achieved vs Guaranteed Variance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'Operating Costs'!$F$2</c:f>
              <c:strCache>
                <c:ptCount val="1"/>
                <c:pt idx="0">
                  <c:v>Operating Cost Savings Achieved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/>
          </c:spPr>
          <c:invertIfNegative val="0"/>
          <c:cat>
            <c:numRef>
              <c:f>'Operating Costs'!$A$3:$A$17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'Operating Costs'!$F$3:$F$17</c:f>
              <c:numCache>
                <c:formatCode>\€#,##0.00</c:formatCode>
                <c:ptCount val="15"/>
                <c:pt idx="0">
                  <c:v>71320.842735042723</c:v>
                </c:pt>
                <c:pt idx="1">
                  <c:v>68150.2373215876</c:v>
                </c:pt>
                <c:pt idx="2">
                  <c:v>67545.627856059989</c:v>
                </c:pt>
                <c:pt idx="3">
                  <c:v>66927.762328000696</c:v>
                </c:pt>
                <c:pt idx="4">
                  <c:v>66296.35009823869</c:v>
                </c:pt>
                <c:pt idx="5">
                  <c:v>65651.09415533916</c:v>
                </c:pt>
                <c:pt idx="6">
                  <c:v>64991.690975891557</c:v>
                </c:pt>
                <c:pt idx="7">
                  <c:v>67381.495726495719</c:v>
                </c:pt>
                <c:pt idx="8">
                  <c:v>70492.495726495719</c:v>
                </c:pt>
                <c:pt idx="9">
                  <c:v>70726.495726495719</c:v>
                </c:pt>
                <c:pt idx="10">
                  <c:v>70171.495726495719</c:v>
                </c:pt>
                <c:pt idx="11">
                  <c:v>70739.495726495719</c:v>
                </c:pt>
                <c:pt idx="12">
                  <c:v>68739.495726495719</c:v>
                </c:pt>
                <c:pt idx="13">
                  <c:v>70048.495726495719</c:v>
                </c:pt>
                <c:pt idx="14">
                  <c:v>69826.495726495719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4-5F4F-BAC1-09562C9F565B}"/>
            </c:ext>
          </c:extLst>
        </c:ser>
        <c:ser>
          <c:idx val="1"/>
          <c:order val="1"/>
          <c:tx>
            <c:strRef>
              <c:f>'Operating Costs'!$G$2</c:f>
              <c:strCache>
                <c:ptCount val="1"/>
                <c:pt idx="0">
                  <c:v>Variance vs Guaranteed Savings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/>
          </c:spPr>
          <c:invertIfNegative val="0"/>
          <c:cat>
            <c:numRef>
              <c:f>'Operating Costs'!$A$3:$A$17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'Operating Costs'!$G$3:$G$17</c:f>
              <c:numCache>
                <c:formatCode>\€#,##0.00</c:formatCode>
                <c:ptCount val="15"/>
                <c:pt idx="0">
                  <c:v>3320.8427350427228</c:v>
                </c:pt>
                <c:pt idx="1">
                  <c:v>150.23732158759958</c:v>
                </c:pt>
                <c:pt idx="2">
                  <c:v>-454.37214394001057</c:v>
                </c:pt>
                <c:pt idx="3">
                  <c:v>-1072.2376719993044</c:v>
                </c:pt>
                <c:pt idx="4">
                  <c:v>-1703.6499017613096</c:v>
                </c:pt>
                <c:pt idx="5">
                  <c:v>-2348.9058446608396</c:v>
                </c:pt>
                <c:pt idx="6">
                  <c:v>-3008.3090241084428</c:v>
                </c:pt>
                <c:pt idx="7">
                  <c:v>-618.50427350428072</c:v>
                </c:pt>
                <c:pt idx="8">
                  <c:v>2492.4957264957193</c:v>
                </c:pt>
                <c:pt idx="9">
                  <c:v>2726.4957264957193</c:v>
                </c:pt>
                <c:pt idx="10">
                  <c:v>2171.4957264957193</c:v>
                </c:pt>
                <c:pt idx="11">
                  <c:v>2739.4957264957193</c:v>
                </c:pt>
                <c:pt idx="12">
                  <c:v>739.49572649571928</c:v>
                </c:pt>
                <c:pt idx="13">
                  <c:v>2048.4957264957193</c:v>
                </c:pt>
                <c:pt idx="14">
                  <c:v>1826.4957264957193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4-5F4F-BAC1-09562C9F5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669184"/>
        <c:axId val="921862144"/>
      </c:barChart>
      <c:catAx>
        <c:axId val="9086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921862144"/>
        <c:crosses val="autoZero"/>
        <c:auto val="1"/>
        <c:lblAlgn val="ctr"/>
        <c:lblOffset val="100"/>
        <c:noMultiLvlLbl val="0"/>
      </c:catAx>
      <c:valAx>
        <c:axId val="9218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€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90866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CO2 Emissions Before and 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'CO2 Impact'!$K$3</c:f>
              <c:strCache>
                <c:ptCount val="1"/>
                <c:pt idx="0">
                  <c:v>CO2 Before Reconstruction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/>
          </c:spPr>
          <c:invertIfNegative val="0"/>
          <c:cat>
            <c:numRef>
              <c:f>'CO2 Impact'!$A$4:$A$18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'CO2 Impact'!$K$4:$K$18</c:f>
              <c:numCache>
                <c:formatCode>_-* #,##0.00_-;\-* #,##0.00_-;_-* "-"_-;_-@_-</c:formatCode>
                <c:ptCount val="15"/>
                <c:pt idx="0">
                  <c:v>572.4</c:v>
                </c:pt>
                <c:pt idx="1">
                  <c:v>572.4</c:v>
                </c:pt>
                <c:pt idx="2">
                  <c:v>572.4</c:v>
                </c:pt>
                <c:pt idx="3">
                  <c:v>572.4</c:v>
                </c:pt>
                <c:pt idx="4">
                  <c:v>572.4</c:v>
                </c:pt>
                <c:pt idx="5">
                  <c:v>572.4</c:v>
                </c:pt>
                <c:pt idx="6">
                  <c:v>572.4</c:v>
                </c:pt>
                <c:pt idx="7">
                  <c:v>572.4</c:v>
                </c:pt>
                <c:pt idx="8">
                  <c:v>572.4</c:v>
                </c:pt>
                <c:pt idx="9">
                  <c:v>572.4</c:v>
                </c:pt>
                <c:pt idx="10">
                  <c:v>572.4</c:v>
                </c:pt>
                <c:pt idx="11">
                  <c:v>572.4</c:v>
                </c:pt>
                <c:pt idx="12">
                  <c:v>572.4</c:v>
                </c:pt>
                <c:pt idx="13" formatCode="#,##0.00">
                  <c:v>572.4</c:v>
                </c:pt>
                <c:pt idx="14" formatCode="#,##0.00">
                  <c:v>572.4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E-8248-9658-55FB15A69880}"/>
            </c:ext>
          </c:extLst>
        </c:ser>
        <c:ser>
          <c:idx val="1"/>
          <c:order val="1"/>
          <c:tx>
            <c:strRef>
              <c:f>'CO2 Impact'!$L$3</c:f>
              <c:strCache>
                <c:ptCount val="1"/>
                <c:pt idx="0">
                  <c:v>CO2 After Reconstruction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/>
          </c:spPr>
          <c:invertIfNegative val="0"/>
          <c:cat>
            <c:numRef>
              <c:f>'CO2 Impact'!$A$4:$A$18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'CO2 Impact'!$L$4:$L$18</c:f>
              <c:numCache>
                <c:formatCode>_-* #,##0.00_-;\-* #,##0.00_-;_-* "-"_-;_-@_-</c:formatCode>
                <c:ptCount val="15"/>
                <c:pt idx="0">
                  <c:v>194.66899999999998</c:v>
                </c:pt>
                <c:pt idx="1">
                  <c:v>194.08499299999997</c:v>
                </c:pt>
                <c:pt idx="2">
                  <c:v>193.50273802099997</c:v>
                </c:pt>
                <c:pt idx="3">
                  <c:v>192.922229806937</c:v>
                </c:pt>
                <c:pt idx="4">
                  <c:v>192.34346311751617</c:v>
                </c:pt>
                <c:pt idx="5">
                  <c:v>191.76643272816361</c:v>
                </c:pt>
                <c:pt idx="6">
                  <c:v>191.19113342997912</c:v>
                </c:pt>
                <c:pt idx="7">
                  <c:v>190.61756002968917</c:v>
                </c:pt>
                <c:pt idx="8">
                  <c:v>190.04570734960009</c:v>
                </c:pt>
                <c:pt idx="9">
                  <c:v>189.47557022755132</c:v>
                </c:pt>
                <c:pt idx="10">
                  <c:v>188.90714351686867</c:v>
                </c:pt>
                <c:pt idx="11">
                  <c:v>188.34042208631809</c:v>
                </c:pt>
                <c:pt idx="12">
                  <c:v>187.7754008200591</c:v>
                </c:pt>
                <c:pt idx="13" formatCode="#,##0.00">
                  <c:v>187.21207461759892</c:v>
                </c:pt>
                <c:pt idx="14" formatCode="#,##0.00">
                  <c:v>186.6504383937461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E-8248-9658-55FB15A69880}"/>
            </c:ext>
          </c:extLst>
        </c:ser>
        <c:ser>
          <c:idx val="2"/>
          <c:order val="2"/>
          <c:tx>
            <c:strRef>
              <c:f>'CO2 Impact'!$M$3</c:f>
              <c:strCache>
                <c:ptCount val="1"/>
                <c:pt idx="0">
                  <c:v>CO2 Reduction [t]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F4B183"/>
              </a:solidFill>
              <a:prstDash val="solid"/>
            </a:ln>
            <a:effectLst/>
          </c:spPr>
          <c:invertIfNegative val="0"/>
          <c:cat>
            <c:numRef>
              <c:f>'CO2 Impact'!$A$4:$A$18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'CO2 Impact'!$M$4:$M$18</c:f>
              <c:numCache>
                <c:formatCode>_-* #,##0.00_-;\-* #,##0.00_-;_-* "-"_-;_-@_-</c:formatCode>
                <c:ptCount val="15"/>
                <c:pt idx="0">
                  <c:v>377.73099999999999</c:v>
                </c:pt>
                <c:pt idx="1">
                  <c:v>378.31500699999998</c:v>
                </c:pt>
                <c:pt idx="2">
                  <c:v>378.89726197900001</c:v>
                </c:pt>
                <c:pt idx="3">
                  <c:v>379.47777019306295</c:v>
                </c:pt>
                <c:pt idx="4">
                  <c:v>380.05653688248378</c:v>
                </c:pt>
                <c:pt idx="5">
                  <c:v>380.63356727183634</c:v>
                </c:pt>
                <c:pt idx="6">
                  <c:v>381.20886657002086</c:v>
                </c:pt>
                <c:pt idx="7">
                  <c:v>381.7824399703108</c:v>
                </c:pt>
                <c:pt idx="8">
                  <c:v>382.35429265039988</c:v>
                </c:pt>
                <c:pt idx="9">
                  <c:v>382.92442977244866</c:v>
                </c:pt>
                <c:pt idx="10">
                  <c:v>383.49285648313133</c:v>
                </c:pt>
                <c:pt idx="11">
                  <c:v>384.05957791368189</c:v>
                </c:pt>
                <c:pt idx="12">
                  <c:v>384.62459917994084</c:v>
                </c:pt>
                <c:pt idx="13" formatCode="#,##0.00">
                  <c:v>385.18792538240103</c:v>
                </c:pt>
                <c:pt idx="14" formatCode="#,##0.00">
                  <c:v>385.74956160625391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6E-8248-9658-55FB15A69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809728"/>
        <c:axId val="897798976"/>
      </c:barChart>
      <c:catAx>
        <c:axId val="89780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897798976"/>
        <c:crosses val="autoZero"/>
        <c:auto val="1"/>
        <c:lblAlgn val="ctr"/>
        <c:lblOffset val="100"/>
        <c:noMultiLvlLbl val="0"/>
      </c:catAx>
      <c:valAx>
        <c:axId val="89779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89780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Annual Electricity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'CO2 Impact'!$H$3</c:f>
              <c:strCache>
                <c:ptCount val="1"/>
                <c:pt idx="0">
                  <c:v>Electricity Savings [kWh]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/>
          </c:spPr>
          <c:invertIfNegative val="0"/>
          <c:cat>
            <c:numRef>
              <c:f>'CO2 Impact'!$A$4:$A$18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'CO2 Impact'!$H$4:$H$18</c:f>
              <c:numCache>
                <c:formatCode>_-* #,##0_-;\-* #,##0_-;_-* "-"_-;_-@_-</c:formatCode>
                <c:ptCount val="15"/>
                <c:pt idx="0">
                  <c:v>712700</c:v>
                </c:pt>
                <c:pt idx="1">
                  <c:v>713801.9</c:v>
                </c:pt>
                <c:pt idx="2">
                  <c:v>714900.49430000002</c:v>
                </c:pt>
                <c:pt idx="3">
                  <c:v>715995.79281709995</c:v>
                </c:pt>
                <c:pt idx="4">
                  <c:v>717087.80543864868</c:v>
                </c:pt>
                <c:pt idx="5">
                  <c:v>718176.54202233278</c:v>
                </c:pt>
                <c:pt idx="6">
                  <c:v>719262.01239626575</c:v>
                </c:pt>
                <c:pt idx="7">
                  <c:v>720344.22635907703</c:v>
                </c:pt>
                <c:pt idx="8">
                  <c:v>721423.19367999979</c:v>
                </c:pt>
                <c:pt idx="9">
                  <c:v>722498.92409895977</c:v>
                </c:pt>
                <c:pt idx="10">
                  <c:v>723571.42732666293</c:v>
                </c:pt>
                <c:pt idx="11">
                  <c:v>724640.71304468287</c:v>
                </c:pt>
                <c:pt idx="12">
                  <c:v>725706.79090554884</c:v>
                </c:pt>
                <c:pt idx="13" formatCode="#,##0.00">
                  <c:v>726769.67053283216</c:v>
                </c:pt>
                <c:pt idx="14" formatCode="#,##0.00">
                  <c:v>727829.3615212338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6-C143-AD55-165ECE488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323264"/>
        <c:axId val="921325056"/>
      </c:barChart>
      <c:catAx>
        <c:axId val="9213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921325056"/>
        <c:crosses val="autoZero"/>
        <c:auto val="1"/>
        <c:lblAlgn val="ctr"/>
        <c:lblOffset val="100"/>
        <c:noMultiLvlLbl val="0"/>
      </c:catAx>
      <c:valAx>
        <c:axId val="9213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9213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Annual CO2 Reduction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'CO2 Impact'!$I$3</c:f>
              <c:strCache>
                <c:ptCount val="1"/>
                <c:pt idx="0">
                  <c:v>CO2 Reduction [t]</c:v>
                </c:pt>
              </c:strCache>
            </c:strRef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/>
          </c:spPr>
          <c:invertIfNegative val="0"/>
          <c:cat>
            <c:numRef>
              <c:f>'CO2 Impact'!$A$4:$A$18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'CO2 Impact'!$I$4:$I$18</c:f>
              <c:numCache>
                <c:formatCode>_-* #,##0.00_-;\-* #,##0.00_-;_-* "-"_-;_-@_-</c:formatCode>
                <c:ptCount val="15"/>
                <c:pt idx="0">
                  <c:v>377.73099999999999</c:v>
                </c:pt>
                <c:pt idx="1">
                  <c:v>378.31500699999998</c:v>
                </c:pt>
                <c:pt idx="2">
                  <c:v>378.89726197900001</c:v>
                </c:pt>
                <c:pt idx="3">
                  <c:v>379.47777019306295</c:v>
                </c:pt>
                <c:pt idx="4">
                  <c:v>380.05653688248378</c:v>
                </c:pt>
                <c:pt idx="5">
                  <c:v>380.63356727183634</c:v>
                </c:pt>
                <c:pt idx="6">
                  <c:v>381.20886657002086</c:v>
                </c:pt>
                <c:pt idx="7">
                  <c:v>381.7824399703108</c:v>
                </c:pt>
                <c:pt idx="8">
                  <c:v>382.35429265039988</c:v>
                </c:pt>
                <c:pt idx="9">
                  <c:v>382.92442977244866</c:v>
                </c:pt>
                <c:pt idx="10">
                  <c:v>383.49285648313133</c:v>
                </c:pt>
                <c:pt idx="11">
                  <c:v>384.05957791368189</c:v>
                </c:pt>
                <c:pt idx="12">
                  <c:v>384.62459917994084</c:v>
                </c:pt>
                <c:pt idx="13" formatCode="#,##0.00">
                  <c:v>385.18792538240103</c:v>
                </c:pt>
                <c:pt idx="14" formatCode="#,##0.00">
                  <c:v>385.74956160625391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E-E044-B3C2-47051137D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512448"/>
        <c:axId val="921514240"/>
      </c:barChart>
      <c:catAx>
        <c:axId val="9215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921514240"/>
        <c:crosses val="autoZero"/>
        <c:auto val="1"/>
        <c:lblAlgn val="ctr"/>
        <c:lblOffset val="100"/>
        <c:noMultiLvlLbl val="0"/>
      </c:catAx>
      <c:valAx>
        <c:axId val="9215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92151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Year 1 Operating 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Electricity</c:v>
          </c:tx>
          <c:spPr>
            <a:solidFill>
              <a:srgbClr val="17365D"/>
            </a:solidFill>
            <a:ln>
              <a:solidFill>
                <a:srgbClr val="17365D"/>
              </a:solidFill>
              <a:prstDash val="solid"/>
            </a:ln>
            <a:effectLst/>
          </c:spPr>
          <c:invertIfNegative val="0"/>
          <c:cat>
            <c:strRef>
              <c:f>'Cost Comparison'!$C$3:$D$3</c:f>
              <c:strCache>
                <c:ptCount val="2"/>
                <c:pt idx="0">
                  <c:v>Without Reconstruction</c:v>
                </c:pt>
                <c:pt idx="1">
                  <c:v>After Reconstruction</c:v>
                </c:pt>
              </c:strCache>
            </c:strRef>
          </c:cat>
          <c:val>
            <c:numRef>
              <c:f>'Cost Comparison'!$C$4:$D$4</c:f>
              <c:numCache>
                <c:formatCode>_-* #,##0.00\ [$€-1]_-;\-* #,##0.00\ [$€-1]_-;_-* "-"??\ [$€-1]_-;_-@_-</c:formatCode>
                <c:ptCount val="2"/>
                <c:pt idx="0">
                  <c:v>79344.923076923063</c:v>
                </c:pt>
                <c:pt idx="1">
                  <c:v>26984.620598290592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F-6040-AE40-BD04585F15A0}"/>
            </c:ext>
          </c:extLst>
        </c:ser>
        <c:ser>
          <c:idx val="1"/>
          <c:order val="1"/>
          <c:tx>
            <c:v>Maintenance</c:v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/>
          </c:spPr>
          <c:invertIfNegative val="0"/>
          <c:cat>
            <c:strRef>
              <c:f>'Cost Comparison'!$C$3:$D$3</c:f>
              <c:strCache>
                <c:ptCount val="2"/>
                <c:pt idx="0">
                  <c:v>Without Reconstruction</c:v>
                </c:pt>
                <c:pt idx="1">
                  <c:v>After Reconstruction</c:v>
                </c:pt>
              </c:strCache>
            </c:strRef>
          </c:cat>
          <c:val>
            <c:numRef>
              <c:f>'Cost Comparison'!$C$5:$D$5</c:f>
              <c:numCache>
                <c:formatCode>_-* #,##0.00\ [$€-1]_-;\-* #,##0.00\ [$€-1]_-;_-* "-"??\ [$€-1]_-;_-@_-</c:formatCode>
                <c:ptCount val="2"/>
                <c:pt idx="0">
                  <c:v>22222.222222222223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F-6040-AE40-BD04585F15A0}"/>
            </c:ext>
          </c:extLst>
        </c:ser>
        <c:ser>
          <c:idx val="2"/>
          <c:order val="2"/>
          <c:tx>
            <c:v>Service Fee</c:v>
          </c:tx>
          <c:spPr>
            <a:solidFill>
              <a:srgbClr val="F4B183"/>
            </a:solidFill>
            <a:ln>
              <a:solidFill>
                <a:srgbClr val="F4B183"/>
              </a:solidFill>
              <a:prstDash val="solid"/>
            </a:ln>
            <a:effectLst/>
          </c:spPr>
          <c:invertIfNegative val="0"/>
          <c:cat>
            <c:strRef>
              <c:f>'Cost Comparison'!$C$3:$D$3</c:f>
              <c:strCache>
                <c:ptCount val="2"/>
                <c:pt idx="0">
                  <c:v>Without Reconstruction</c:v>
                </c:pt>
                <c:pt idx="1">
                  <c:v>After Reconstruction</c:v>
                </c:pt>
              </c:strCache>
            </c:strRef>
          </c:cat>
          <c:val>
            <c:numRef>
              <c:f>'Cost Comparison'!$C$6:$D$6</c:f>
              <c:numCache>
                <c:formatCode>_-* #,##0.00\ [$€-1]_-;\-* #,##0.00\ [$€-1]_-;_-* "-"??\ [$€-1]_-;_-@_-</c:formatCode>
                <c:ptCount val="2"/>
                <c:pt idx="1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F-6040-AE40-BD04585F15A0}"/>
            </c:ext>
          </c:extLst>
        </c:ser>
        <c:ser>
          <c:idx val="3"/>
          <c:order val="3"/>
          <c:tx>
            <c:v>Savings</c:v>
          </c:tx>
          <c:spPr>
            <a:solidFill>
              <a:srgbClr val="9DC3E6"/>
            </a:solidFill>
            <a:ln>
              <a:solidFill>
                <a:srgbClr val="9DC3E6"/>
              </a:solidFill>
              <a:prstDash val="solid"/>
            </a:ln>
            <a:effectLst/>
          </c:spPr>
          <c:invertIfNegative val="0"/>
          <c:val>
            <c:numRef>
              <c:f>'Cost Comparison'!$C$8:$D$8</c:f>
              <c:numCache>
                <c:formatCode>_-* #,##0.00\ [$€-1]_-;\-* #,##0.00\ [$€-1]_-;_-* "-"??\ [$€-1]_-;_-@_-</c:formatCode>
                <c:ptCount val="2"/>
                <c:pt idx="1">
                  <c:v>56582.524700854687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F-6040-AE40-BD04585F1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798784"/>
        <c:axId val="895795200"/>
      </c:barChart>
      <c:catAx>
        <c:axId val="89579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895795200"/>
        <c:crosses val="autoZero"/>
        <c:auto val="1"/>
        <c:lblAlgn val="ctr"/>
        <c:lblOffset val="100"/>
        <c:noMultiLvlLbl val="0"/>
      </c:catAx>
      <c:valAx>
        <c:axId val="8957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€-1]_-;\-* #,##0.00\ [$€-1]_-;_-* &quot;-&quot;??\ [$€-1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89579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Energy Cost Before vs Without Reconstruction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Price'!$B$6</c:f>
              <c:strCache>
                <c:ptCount val="1"/>
                <c:pt idx="0">
                  <c:v>Before Reconstruction</c:v>
                </c:pt>
              </c:strCache>
            </c:strRef>
          </c:tx>
          <c:spPr>
            <a:ln w="28575" cap="rnd">
              <a:solidFill>
                <a:srgbClr val="17365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'Energy Price'!$A$7:$A$21</c:f>
              <c:strCache>
                <c:ptCount val="15"/>
                <c:pt idx="0">
                  <c:v>1. year</c:v>
                </c:pt>
                <c:pt idx="1">
                  <c:v>2. year</c:v>
                </c:pt>
                <c:pt idx="2">
                  <c:v>3. year</c:v>
                </c:pt>
                <c:pt idx="3">
                  <c:v>4. year</c:v>
                </c:pt>
                <c:pt idx="4">
                  <c:v>5. year</c:v>
                </c:pt>
                <c:pt idx="5">
                  <c:v>6. year</c:v>
                </c:pt>
                <c:pt idx="6">
                  <c:v>7. year</c:v>
                </c:pt>
                <c:pt idx="7">
                  <c:v>8. year</c:v>
                </c:pt>
                <c:pt idx="8">
                  <c:v>9. year</c:v>
                </c:pt>
                <c:pt idx="9">
                  <c:v>10. year</c:v>
                </c:pt>
                <c:pt idx="10">
                  <c:v>11. year</c:v>
                </c:pt>
                <c:pt idx="11">
                  <c:v>12. year</c:v>
                </c:pt>
                <c:pt idx="12">
                  <c:v>13. year</c:v>
                </c:pt>
                <c:pt idx="13">
                  <c:v>14. year</c:v>
                </c:pt>
                <c:pt idx="14">
                  <c:v>15. year</c:v>
                </c:pt>
              </c:strCache>
            </c:strRef>
          </c:cat>
          <c:val>
            <c:numRef>
              <c:f>'Energy Price'!$B$7:$B$21</c:f>
              <c:numCache>
                <c:formatCode>\€#,##0.00</c:formatCode>
                <c:ptCount val="15"/>
                <c:pt idx="0">
                  <c:v>73504.2735042735</c:v>
                </c:pt>
                <c:pt idx="1">
                  <c:v>73504.2735042735</c:v>
                </c:pt>
                <c:pt idx="2">
                  <c:v>73504.2735042735</c:v>
                </c:pt>
                <c:pt idx="3">
                  <c:v>73504.2735042735</c:v>
                </c:pt>
                <c:pt idx="4">
                  <c:v>73504.2735042735</c:v>
                </c:pt>
                <c:pt idx="5">
                  <c:v>73504.2735042735</c:v>
                </c:pt>
                <c:pt idx="6">
                  <c:v>73504.2735042735</c:v>
                </c:pt>
                <c:pt idx="7">
                  <c:v>73504.2735042735</c:v>
                </c:pt>
                <c:pt idx="8">
                  <c:v>73504.2735042735</c:v>
                </c:pt>
                <c:pt idx="9">
                  <c:v>73504.2735042735</c:v>
                </c:pt>
                <c:pt idx="10">
                  <c:v>73504.2735042735</c:v>
                </c:pt>
                <c:pt idx="11">
                  <c:v>73504.2735042735</c:v>
                </c:pt>
                <c:pt idx="12">
                  <c:v>73504.2735042735</c:v>
                </c:pt>
                <c:pt idx="13">
                  <c:v>73504.2735042735</c:v>
                </c:pt>
                <c:pt idx="14">
                  <c:v>73504.2735042735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5-384F-A9A7-E8465E2454E7}"/>
            </c:ext>
          </c:extLst>
        </c:ser>
        <c:ser>
          <c:idx val="1"/>
          <c:order val="1"/>
          <c:tx>
            <c:strRef>
              <c:f>'Energy Price'!$C$6</c:f>
              <c:strCache>
                <c:ptCount val="1"/>
                <c:pt idx="0">
                  <c:v>Without Reconstruction</c:v>
                </c:pt>
              </c:strCache>
            </c:strRef>
          </c:tx>
          <c:spPr>
            <a:ln w="28575" cap="rnd">
              <a:solidFill>
                <a:srgbClr val="2F75B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'Energy Price'!$A$7:$A$21</c:f>
              <c:strCache>
                <c:ptCount val="15"/>
                <c:pt idx="0">
                  <c:v>1. year</c:v>
                </c:pt>
                <c:pt idx="1">
                  <c:v>2. year</c:v>
                </c:pt>
                <c:pt idx="2">
                  <c:v>3. year</c:v>
                </c:pt>
                <c:pt idx="3">
                  <c:v>4. year</c:v>
                </c:pt>
                <c:pt idx="4">
                  <c:v>5. year</c:v>
                </c:pt>
                <c:pt idx="5">
                  <c:v>6. year</c:v>
                </c:pt>
                <c:pt idx="6">
                  <c:v>7. year</c:v>
                </c:pt>
                <c:pt idx="7">
                  <c:v>8. year</c:v>
                </c:pt>
                <c:pt idx="8">
                  <c:v>9. year</c:v>
                </c:pt>
                <c:pt idx="9">
                  <c:v>10. year</c:v>
                </c:pt>
                <c:pt idx="10">
                  <c:v>11. year</c:v>
                </c:pt>
                <c:pt idx="11">
                  <c:v>12. year</c:v>
                </c:pt>
                <c:pt idx="12">
                  <c:v>13. year</c:v>
                </c:pt>
                <c:pt idx="13">
                  <c:v>14. year</c:v>
                </c:pt>
                <c:pt idx="14">
                  <c:v>15. year</c:v>
                </c:pt>
              </c:strCache>
            </c:strRef>
          </c:cat>
          <c:val>
            <c:numRef>
              <c:f>'Energy Price'!$C$7:$C$21</c:f>
              <c:numCache>
                <c:formatCode>\€#,##0.00</c:formatCode>
                <c:ptCount val="15"/>
                <c:pt idx="0">
                  <c:v>79344.923076923063</c:v>
                </c:pt>
                <c:pt idx="1">
                  <c:v>81328.546153846139</c:v>
                </c:pt>
                <c:pt idx="2">
                  <c:v>83361.759807692302</c:v>
                </c:pt>
                <c:pt idx="3">
                  <c:v>85445.803802884591</c:v>
                </c:pt>
                <c:pt idx="4">
                  <c:v>87581.94889795671</c:v>
                </c:pt>
                <c:pt idx="5">
                  <c:v>89771.497620405615</c:v>
                </c:pt>
                <c:pt idx="6">
                  <c:v>92015.785060915747</c:v>
                </c:pt>
                <c:pt idx="7">
                  <c:v>94316.179687438649</c:v>
                </c:pt>
                <c:pt idx="8">
                  <c:v>96674.084179624595</c:v>
                </c:pt>
                <c:pt idx="9">
                  <c:v>99090.936284115203</c:v>
                </c:pt>
                <c:pt idx="10">
                  <c:v>101568.20969121806</c:v>
                </c:pt>
                <c:pt idx="11">
                  <c:v>104107.41493349851</c:v>
                </c:pt>
                <c:pt idx="12">
                  <c:v>106710.10030683597</c:v>
                </c:pt>
                <c:pt idx="13">
                  <c:v>109377.85281450686</c:v>
                </c:pt>
                <c:pt idx="14">
                  <c:v>112112.29913486951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5-384F-A9A7-E8465E245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252864"/>
        <c:axId val="922254656"/>
      </c:lineChart>
      <c:catAx>
        <c:axId val="92225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922254656"/>
        <c:crosses val="autoZero"/>
        <c:auto val="1"/>
        <c:lblAlgn val="ctr"/>
        <c:lblOffset val="100"/>
        <c:noMultiLvlLbl val="0"/>
      </c:catAx>
      <c:valAx>
        <c:axId val="92225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€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92225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System Electricity Consumption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'System Consumption'!$B$2</c:f>
              <c:strCache>
                <c:ptCount val="1"/>
                <c:pt idx="0">
                  <c:v>Total System Electricity Consumption [kWh]</c:v>
                </c:pt>
              </c:strCache>
            </c:strRef>
          </c:tx>
          <c:spPr>
            <a:ln w="28575" cap="rnd">
              <a:solidFill>
                <a:srgbClr val="17365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'System Consumption'!$A$3:$A$17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'System Consumption'!$B$3:$B$17</c:f>
              <c:numCache>
                <c:formatCode>#,##0</c:formatCode>
                <c:ptCount val="15"/>
                <c:pt idx="0">
                  <c:v>367300</c:v>
                </c:pt>
                <c:pt idx="1">
                  <c:v>366198.1</c:v>
                </c:pt>
                <c:pt idx="2">
                  <c:v>365099.50569999998</c:v>
                </c:pt>
                <c:pt idx="3">
                  <c:v>364004.20718289999</c:v>
                </c:pt>
                <c:pt idx="4">
                  <c:v>362912.19456135127</c:v>
                </c:pt>
                <c:pt idx="5">
                  <c:v>361823.45797766722</c:v>
                </c:pt>
                <c:pt idx="6">
                  <c:v>360737.98760373419</c:v>
                </c:pt>
                <c:pt idx="7">
                  <c:v>359655.77364092297</c:v>
                </c:pt>
                <c:pt idx="8">
                  <c:v>358576.80632000021</c:v>
                </c:pt>
                <c:pt idx="9">
                  <c:v>357501.07590104023</c:v>
                </c:pt>
                <c:pt idx="10">
                  <c:v>356428.57267333713</c:v>
                </c:pt>
                <c:pt idx="11">
                  <c:v>355359.28695531713</c:v>
                </c:pt>
                <c:pt idx="12">
                  <c:v>354293.20909445116</c:v>
                </c:pt>
                <c:pt idx="13">
                  <c:v>353230.32946716779</c:v>
                </c:pt>
                <c:pt idx="14">
                  <c:v>352170.63847876625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2-4ACC-B834-5132EE0846FC}"/>
            </c:ext>
          </c:extLst>
        </c:ser>
        <c:ser>
          <c:idx val="1"/>
          <c:order val="1"/>
          <c:tx>
            <c:strRef>
              <c:f>'System Consumption'!$C$2</c:f>
              <c:strCache>
                <c:ptCount val="1"/>
                <c:pt idx="0">
                  <c:v>Consumption excl. Additional Loads [kWh]</c:v>
                </c:pt>
              </c:strCache>
            </c:strRef>
          </c:tx>
          <c:spPr>
            <a:ln w="28575" cap="rnd">
              <a:solidFill>
                <a:srgbClr val="2F75B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'System Consumption'!$A$3:$A$17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'System Consumption'!$C$3:$C$17</c:f>
              <c:numCache>
                <c:formatCode>#,##0</c:formatCode>
                <c:ptCount val="15"/>
                <c:pt idx="0">
                  <c:v>348227.00000000006</c:v>
                </c:pt>
                <c:pt idx="1">
                  <c:v>347182.31900000008</c:v>
                </c:pt>
                <c:pt idx="2">
                  <c:v>346140.77204300009</c:v>
                </c:pt>
                <c:pt idx="3">
                  <c:v>345102.34972687106</c:v>
                </c:pt>
                <c:pt idx="4">
                  <c:v>344067.04267769045</c:v>
                </c:pt>
                <c:pt idx="5">
                  <c:v>343034.8415496574</c:v>
                </c:pt>
                <c:pt idx="6">
                  <c:v>342005.73702500842</c:v>
                </c:pt>
                <c:pt idx="7">
                  <c:v>340979.71981393342</c:v>
                </c:pt>
                <c:pt idx="8">
                  <c:v>339956.78065449162</c:v>
                </c:pt>
                <c:pt idx="9">
                  <c:v>338936.91031252814</c:v>
                </c:pt>
                <c:pt idx="10">
                  <c:v>337920.09958159056</c:v>
                </c:pt>
                <c:pt idx="11">
                  <c:v>336906.33928284579</c:v>
                </c:pt>
                <c:pt idx="12">
                  <c:v>335895.62026499724</c:v>
                </c:pt>
                <c:pt idx="13">
                  <c:v>334887.93340420222</c:v>
                </c:pt>
                <c:pt idx="14">
                  <c:v>333883.26960398961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E2-4ACC-B834-5132EE084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732280"/>
        <c:axId val="603733264"/>
      </c:lineChart>
      <c:catAx>
        <c:axId val="60373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603733264"/>
        <c:crosses val="autoZero"/>
        <c:auto val="1"/>
        <c:lblAlgn val="ctr"/>
        <c:lblOffset val="100"/>
        <c:noMultiLvlLbl val="0"/>
      </c:catAx>
      <c:valAx>
        <c:axId val="60373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60373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13446</xdr:colOff>
      <xdr:row>9</xdr:row>
      <xdr:rowOff>17929</xdr:rowOff>
    </xdr:from>
    <xdr:to>
      <xdr:col>8</xdr:col>
      <xdr:colOff>1160517</xdr:colOff>
      <xdr:row>20</xdr:row>
      <xdr:rowOff>153276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3C89D-BC63-4447-B3BF-656AF2415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10884</xdr:colOff>
      <xdr:row>68</xdr:row>
      <xdr:rowOff>21771</xdr:rowOff>
    </xdr:from>
    <xdr:to>
      <xdr:col>5</xdr:col>
      <xdr:colOff>239483</xdr:colOff>
      <xdr:row>91</xdr:row>
      <xdr:rowOff>108858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918D8D-BC7F-4634-A443-4DAE9D142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25</xdr:row>
      <xdr:rowOff>152400</xdr:rowOff>
    </xdr:from>
    <xdr:to>
      <xdr:col>7</xdr:col>
      <xdr:colOff>500743</xdr:colOff>
      <xdr:row>38</xdr:row>
      <xdr:rowOff>141514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D63D0C-9C6A-407A-A74E-4D368DA5D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783772</xdr:colOff>
      <xdr:row>25</xdr:row>
      <xdr:rowOff>163285</xdr:rowOff>
    </xdr:from>
    <xdr:to>
      <xdr:col>11</xdr:col>
      <xdr:colOff>489858</xdr:colOff>
      <xdr:row>38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3360A9-7FD4-4462-BC61-34F7DCCF3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391886</xdr:colOff>
      <xdr:row>40</xdr:row>
      <xdr:rowOff>174172</xdr:rowOff>
    </xdr:from>
    <xdr:to>
      <xdr:col>7</xdr:col>
      <xdr:colOff>674915</xdr:colOff>
      <xdr:row>53</xdr:row>
      <xdr:rowOff>163287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3B2323B-47CD-48B2-B05D-0EF76D541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805543</xdr:colOff>
      <xdr:row>40</xdr:row>
      <xdr:rowOff>152400</xdr:rowOff>
    </xdr:from>
    <xdr:to>
      <xdr:col>11</xdr:col>
      <xdr:colOff>511629</xdr:colOff>
      <xdr:row>53</xdr:row>
      <xdr:rowOff>141515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9FDA516-5A1D-489C-A764-8908E850E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E0401-2491-4F80-AFC4-1549D9619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165099</xdr:colOff>
      <xdr:row>19</xdr:row>
      <xdr:rowOff>0</xdr:rowOff>
    </xdr:from>
    <xdr:to>
      <xdr:col>10</xdr:col>
      <xdr:colOff>228599</xdr:colOff>
      <xdr:row>34</xdr:row>
      <xdr:rowOff>0</xdr:rowOff>
    </xdr:to>
    <xdr:graphicFrame macro="">
      <xdr:nvGraphicFramePr>
        <xdr:cNvPr id="5" name="Savings Performance Chart">
          <a:extLst>
            <a:ext uri="{FF2B5EF4-FFF2-40B4-BE49-F238E27FC236}">
              <a16:creationId xmlns:a16="http://schemas.microsoft.com/office/drawing/2014/main" id="{40605D9E-B9F3-A4A1-0EB5-ACF7320E1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190499</xdr:rowOff>
    </xdr:from>
    <xdr:to>
      <xdr:col>8</xdr:col>
      <xdr:colOff>0</xdr:colOff>
      <xdr:row>33</xdr:row>
      <xdr:rowOff>190499</xdr:rowOff>
    </xdr:to>
    <xdr:graphicFrame macro="">
      <xdr:nvGraphicFramePr>
        <xdr:cNvPr id="2" name="CO2 Emissions Chart">
          <a:extLst>
            <a:ext uri="{FF2B5EF4-FFF2-40B4-BE49-F238E27FC236}">
              <a16:creationId xmlns:a16="http://schemas.microsoft.com/office/drawing/2014/main" id="{9319133B-3E21-2128-231D-CA3F1BD6C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190499</xdr:rowOff>
    </xdr:from>
    <xdr:to>
      <xdr:col>17</xdr:col>
      <xdr:colOff>0</xdr:colOff>
      <xdr:row>33</xdr:row>
      <xdr:rowOff>190499</xdr:rowOff>
    </xdr:to>
    <xdr:graphicFrame macro="">
      <xdr:nvGraphicFramePr>
        <xdr:cNvPr id="3" name="Electricity Savings Chart">
          <a:extLst>
            <a:ext uri="{FF2B5EF4-FFF2-40B4-BE49-F238E27FC236}">
              <a16:creationId xmlns:a16="http://schemas.microsoft.com/office/drawing/2014/main" id="{7C215BFD-FED6-50B4-0C58-76455F80E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190499</xdr:rowOff>
    </xdr:from>
    <xdr:to>
      <xdr:col>8</xdr:col>
      <xdr:colOff>0</xdr:colOff>
      <xdr:row>50</xdr:row>
      <xdr:rowOff>190499</xdr:rowOff>
    </xdr:to>
    <xdr:graphicFrame macro="">
      <xdr:nvGraphicFramePr>
        <xdr:cNvPr id="4" name="CO2 Reduction Chart">
          <a:extLst>
            <a:ext uri="{FF2B5EF4-FFF2-40B4-BE49-F238E27FC236}">
              <a16:creationId xmlns:a16="http://schemas.microsoft.com/office/drawing/2014/main" id="{8EF2C250-9EC5-3141-2EAD-6CD00204A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4</xdr:col>
      <xdr:colOff>476250</xdr:colOff>
      <xdr:row>25</xdr:row>
      <xdr:rowOff>173182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4B0CE98D-F1B4-983A-FDFF-DF765622F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9</xdr:col>
      <xdr:colOff>0</xdr:colOff>
      <xdr:row>40</xdr:row>
      <xdr:rowOff>0</xdr:rowOff>
    </xdr:to>
    <xdr:graphicFrame macro="">
      <xdr:nvGraphicFramePr>
        <xdr:cNvPr id="4" name="Energy Cost Scenario Chart">
          <a:extLst>
            <a:ext uri="{FF2B5EF4-FFF2-40B4-BE49-F238E27FC236}">
              <a16:creationId xmlns:a16="http://schemas.microsoft.com/office/drawing/2014/main" id="{68A0343F-D451-3C9B-5055-8B5F1AEBF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163285</xdr:rowOff>
    </xdr:from>
    <xdr:to>
      <xdr:col>5</xdr:col>
      <xdr:colOff>10886</xdr:colOff>
      <xdr:row>37</xdr:row>
      <xdr:rowOff>87085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221B7B-FDAF-4D4B-A184-1B466B1AB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3E44-C7F0-1A43-B7B4-D0CD2DF6B0B6}">
  <dimension ref="A1:H18"/>
  <sheetViews>
    <sheetView workbookViewId="0">
      <selection sqref="A1:H1"/>
    </sheetView>
  </sheetViews>
  <sheetFormatPr baseColWidth="10" defaultRowHeight="15" x14ac:dyDescent="0.2"/>
  <cols>
    <col min="1" max="1" width="33.33203125" customWidth="1"/>
    <col min="2" max="2" width="58.33203125" customWidth="1"/>
    <col min="3" max="8" width="7.5" customWidth="1"/>
  </cols>
  <sheetData>
    <row r="1" spans="1:8" ht="27" x14ac:dyDescent="0.2">
      <c r="A1" s="204" t="s">
        <v>188</v>
      </c>
      <c r="B1" s="204"/>
      <c r="C1" s="204"/>
      <c r="D1" s="204"/>
      <c r="E1" s="204"/>
      <c r="F1" s="204"/>
      <c r="G1" s="204"/>
      <c r="H1" s="204"/>
    </row>
    <row r="2" spans="1:8" x14ac:dyDescent="0.2">
      <c r="A2" s="205" t="s">
        <v>189</v>
      </c>
      <c r="B2" s="205"/>
      <c r="C2" s="205"/>
      <c r="D2" s="205"/>
      <c r="E2" s="205"/>
      <c r="F2" s="205"/>
      <c r="G2" s="205"/>
      <c r="H2" s="205"/>
    </row>
    <row r="3" spans="1:8" x14ac:dyDescent="0.2">
      <c r="A3" s="15"/>
      <c r="B3" s="15"/>
      <c r="C3" s="15"/>
      <c r="D3" s="15"/>
      <c r="E3" s="15"/>
      <c r="F3" s="15"/>
      <c r="G3" s="15"/>
      <c r="H3" s="15"/>
    </row>
    <row r="4" spans="1:8" x14ac:dyDescent="0.2">
      <c r="A4" s="206" t="s">
        <v>190</v>
      </c>
      <c r="B4" s="206"/>
      <c r="C4" s="206"/>
      <c r="D4" s="206"/>
      <c r="E4" s="206"/>
      <c r="F4" s="206"/>
      <c r="G4" s="206"/>
      <c r="H4" s="206"/>
    </row>
    <row r="5" spans="1:8" x14ac:dyDescent="0.2">
      <c r="A5" s="207" t="s">
        <v>209</v>
      </c>
      <c r="B5" s="207"/>
      <c r="C5" s="207"/>
      <c r="D5" s="207"/>
      <c r="E5" s="207"/>
      <c r="F5" s="207"/>
      <c r="G5" s="207"/>
      <c r="H5" s="207"/>
    </row>
    <row r="6" spans="1:8" x14ac:dyDescent="0.2">
      <c r="A6" s="207"/>
      <c r="B6" s="207"/>
      <c r="C6" s="207"/>
      <c r="D6" s="207"/>
      <c r="E6" s="207"/>
      <c r="F6" s="207"/>
      <c r="G6" s="207"/>
      <c r="H6" s="207"/>
    </row>
    <row r="7" spans="1:8" x14ac:dyDescent="0.2">
      <c r="A7" s="207"/>
      <c r="B7" s="207"/>
      <c r="C7" s="207"/>
      <c r="D7" s="207"/>
      <c r="E7" s="207"/>
      <c r="F7" s="207"/>
      <c r="G7" s="207"/>
      <c r="H7" s="207"/>
    </row>
    <row r="8" spans="1:8" x14ac:dyDescent="0.2">
      <c r="A8" s="15"/>
      <c r="B8" s="15"/>
      <c r="C8" s="15"/>
      <c r="D8" s="15"/>
      <c r="E8" s="15"/>
      <c r="F8" s="15"/>
      <c r="G8" s="15"/>
      <c r="H8" s="15"/>
    </row>
    <row r="9" spans="1:8" x14ac:dyDescent="0.2">
      <c r="A9" s="120" t="s">
        <v>191</v>
      </c>
      <c r="B9" s="120" t="s">
        <v>192</v>
      </c>
      <c r="C9" s="15"/>
      <c r="D9" s="15"/>
      <c r="E9" s="15"/>
      <c r="F9" s="15"/>
      <c r="G9" s="15"/>
      <c r="H9" s="15"/>
    </row>
    <row r="10" spans="1:8" ht="30" x14ac:dyDescent="0.2">
      <c r="A10" s="121" t="s">
        <v>193</v>
      </c>
      <c r="B10" s="122" t="s">
        <v>194</v>
      </c>
      <c r="C10" s="15"/>
      <c r="D10" s="15"/>
      <c r="E10" s="15"/>
      <c r="F10" s="15"/>
      <c r="G10" s="15"/>
      <c r="H10" s="15"/>
    </row>
    <row r="11" spans="1:8" x14ac:dyDescent="0.2">
      <c r="A11" s="123" t="s">
        <v>98</v>
      </c>
      <c r="B11" s="124" t="s">
        <v>195</v>
      </c>
      <c r="C11" s="15"/>
      <c r="D11" s="15"/>
      <c r="E11" s="15"/>
      <c r="F11" s="15"/>
      <c r="G11" s="15"/>
      <c r="H11" s="15"/>
    </row>
    <row r="12" spans="1:8" x14ac:dyDescent="0.2">
      <c r="A12" s="121" t="s">
        <v>196</v>
      </c>
      <c r="B12" s="122" t="s">
        <v>197</v>
      </c>
      <c r="C12" s="15"/>
      <c r="D12" s="15"/>
      <c r="E12" s="15"/>
      <c r="F12" s="15"/>
      <c r="G12" s="15"/>
      <c r="H12" s="15"/>
    </row>
    <row r="13" spans="1:8" x14ac:dyDescent="0.2">
      <c r="A13" s="123" t="s">
        <v>198</v>
      </c>
      <c r="B13" s="124" t="s">
        <v>199</v>
      </c>
      <c r="C13" s="15"/>
      <c r="D13" s="15"/>
      <c r="E13" s="15"/>
      <c r="F13" s="15"/>
      <c r="G13" s="15"/>
      <c r="H13" s="15"/>
    </row>
    <row r="14" spans="1:8" x14ac:dyDescent="0.2">
      <c r="A14" s="121" t="s">
        <v>200</v>
      </c>
      <c r="B14" s="122" t="s">
        <v>201</v>
      </c>
      <c r="C14" s="15"/>
      <c r="D14" s="15"/>
      <c r="E14" s="15"/>
      <c r="F14" s="15"/>
      <c r="G14" s="15"/>
      <c r="H14" s="15"/>
    </row>
    <row r="15" spans="1:8" x14ac:dyDescent="0.2">
      <c r="A15" s="123" t="s">
        <v>202</v>
      </c>
      <c r="B15" s="124" t="s">
        <v>203</v>
      </c>
      <c r="C15" s="15"/>
      <c r="D15" s="15"/>
      <c r="E15" s="15"/>
      <c r="F15" s="15"/>
      <c r="G15" s="15"/>
      <c r="H15" s="15"/>
    </row>
    <row r="16" spans="1:8" x14ac:dyDescent="0.2">
      <c r="A16" s="121" t="s">
        <v>113</v>
      </c>
      <c r="B16" s="122" t="s">
        <v>204</v>
      </c>
      <c r="C16" s="15"/>
      <c r="D16" s="15"/>
      <c r="E16" s="15"/>
      <c r="F16" s="15"/>
      <c r="G16" s="15"/>
      <c r="H16" s="15"/>
    </row>
    <row r="17" spans="1:8" x14ac:dyDescent="0.2">
      <c r="A17" s="123" t="s">
        <v>205</v>
      </c>
      <c r="B17" s="124" t="s">
        <v>206</v>
      </c>
      <c r="C17" s="15"/>
      <c r="D17" s="15"/>
      <c r="E17" s="15"/>
      <c r="F17" s="15"/>
      <c r="G17" s="15"/>
      <c r="H17" s="15"/>
    </row>
    <row r="18" spans="1:8" x14ac:dyDescent="0.2">
      <c r="A18" s="121" t="s">
        <v>207</v>
      </c>
      <c r="B18" s="122" t="s">
        <v>208</v>
      </c>
      <c r="C18" s="15"/>
      <c r="D18" s="15"/>
      <c r="E18" s="15"/>
      <c r="F18" s="15"/>
      <c r="G18" s="15"/>
      <c r="H18" s="15"/>
    </row>
  </sheetData>
  <mergeCells count="4">
    <mergeCell ref="A1:H1"/>
    <mergeCell ref="A2:H2"/>
    <mergeCell ref="A4:H4"/>
    <mergeCell ref="A5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opLeftCell="A20" zoomScale="89" zoomScaleNormal="70" workbookViewId="0">
      <selection activeCell="B44" sqref="B44"/>
    </sheetView>
  </sheetViews>
  <sheetFormatPr baseColWidth="10" defaultColWidth="9.1640625" defaultRowHeight="15" x14ac:dyDescent="0.2"/>
  <cols>
    <col min="1" max="1" width="40.83203125" style="2" customWidth="1"/>
    <col min="2" max="3" width="21.6640625" style="2" customWidth="1"/>
    <col min="4" max="4" width="9" style="2" bestFit="1" customWidth="1"/>
    <col min="5" max="5" width="10.6640625" style="2" bestFit="1" customWidth="1"/>
    <col min="6" max="6" width="11.83203125" style="2" bestFit="1" customWidth="1"/>
    <col min="7" max="7" width="15.1640625" style="2" bestFit="1" customWidth="1"/>
    <col min="8" max="8" width="8" style="2" bestFit="1" customWidth="1"/>
    <col min="9" max="9" width="33.33203125" style="2" customWidth="1"/>
    <col min="10" max="10" width="10" style="2" bestFit="1" customWidth="1"/>
    <col min="11" max="11" width="9.1640625" style="2" customWidth="1"/>
    <col min="12" max="16384" width="9.1640625" style="2"/>
  </cols>
  <sheetData>
    <row r="1" spans="1:14" ht="22" x14ac:dyDescent="0.2">
      <c r="A1" s="9" t="s">
        <v>5</v>
      </c>
      <c r="B1" s="203" t="s">
        <v>6</v>
      </c>
      <c r="C1" s="203"/>
      <c r="D1" s="203"/>
      <c r="E1" s="203"/>
      <c r="F1" s="203"/>
      <c r="G1" s="203"/>
      <c r="H1" s="203"/>
      <c r="I1" s="203"/>
      <c r="J1" s="203"/>
      <c r="K1" s="203" t="s">
        <v>7</v>
      </c>
      <c r="L1" s="203"/>
      <c r="M1" s="203"/>
    </row>
    <row r="2" spans="1:14" x14ac:dyDescent="0.2">
      <c r="A2" s="18" t="s">
        <v>8</v>
      </c>
      <c r="B2" s="218" t="s">
        <v>74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</row>
    <row r="3" spans="1:14" x14ac:dyDescent="0.2">
      <c r="A3" s="18" t="s">
        <v>9</v>
      </c>
      <c r="B3" s="218" t="s">
        <v>75</v>
      </c>
      <c r="C3" s="219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4" ht="16" x14ac:dyDescent="0.2">
      <c r="A4" s="21" t="s">
        <v>10</v>
      </c>
      <c r="B4" s="220">
        <v>46037</v>
      </c>
      <c r="C4" s="221"/>
      <c r="D4" s="22"/>
      <c r="E4" s="22"/>
      <c r="F4" s="22"/>
      <c r="G4" s="22"/>
      <c r="H4" s="22"/>
      <c r="I4" s="22"/>
      <c r="J4" s="22"/>
      <c r="K4" s="22"/>
      <c r="L4" s="22"/>
      <c r="M4" s="22"/>
      <c r="N4" s="7"/>
    </row>
    <row r="5" spans="1:14" ht="16" x14ac:dyDescent="0.2">
      <c r="A5" s="15"/>
      <c r="B5" s="23"/>
      <c r="C5" s="24"/>
      <c r="D5" s="22"/>
      <c r="E5" s="22"/>
      <c r="F5" s="22"/>
      <c r="G5" s="22"/>
      <c r="H5" s="22"/>
      <c r="I5" s="22"/>
      <c r="J5" s="22"/>
      <c r="K5" s="22"/>
      <c r="L5" s="22"/>
      <c r="M5" s="22"/>
      <c r="N5" s="7"/>
    </row>
    <row r="6" spans="1:14" ht="16" x14ac:dyDescent="0.2">
      <c r="A6" s="25" t="s">
        <v>11</v>
      </c>
      <c r="B6" s="26" t="s">
        <v>76</v>
      </c>
      <c r="C6" s="15"/>
      <c r="D6" s="24"/>
      <c r="E6" s="24"/>
      <c r="F6" s="24"/>
      <c r="G6" s="24"/>
      <c r="H6" s="24"/>
      <c r="I6" s="24"/>
      <c r="J6" s="24"/>
      <c r="K6" s="24"/>
      <c r="L6" s="24"/>
      <c r="M6" s="24"/>
      <c r="N6" s="6"/>
    </row>
    <row r="7" spans="1:14" ht="16" x14ac:dyDescent="0.2">
      <c r="A7" s="25" t="s">
        <v>12</v>
      </c>
      <c r="B7" s="27">
        <f ca="1">TODAY()</f>
        <v>46245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6"/>
    </row>
    <row r="8" spans="1:14" ht="16" x14ac:dyDescent="0.2">
      <c r="A8" s="15"/>
      <c r="B8" s="15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6"/>
    </row>
    <row r="9" spans="1:14" x14ac:dyDescent="0.2">
      <c r="A9" s="25" t="s">
        <v>13</v>
      </c>
      <c r="B9" s="28" t="s">
        <v>77</v>
      </c>
      <c r="C9" s="29"/>
      <c r="D9" s="24"/>
      <c r="E9" s="24"/>
      <c r="F9" s="24"/>
      <c r="G9" s="24"/>
      <c r="H9" s="24"/>
      <c r="I9" s="24"/>
      <c r="J9" s="24"/>
      <c r="K9" s="24"/>
      <c r="L9" s="24"/>
      <c r="M9" s="24"/>
      <c r="N9" s="4"/>
    </row>
    <row r="10" spans="1:14" x14ac:dyDescent="0.2">
      <c r="A10" s="30" t="s">
        <v>14</v>
      </c>
      <c r="B10" s="31">
        <v>46245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4" x14ac:dyDescent="0.2">
      <c r="A11" s="15"/>
      <c r="B11" s="32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4" x14ac:dyDescent="0.2">
      <c r="A12" s="33" t="s">
        <v>15</v>
      </c>
      <c r="B12" s="108">
        <v>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4" x14ac:dyDescent="0.2">
      <c r="A13" s="33" t="s">
        <v>16</v>
      </c>
      <c r="B13" s="108">
        <v>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4" x14ac:dyDescent="0.2">
      <c r="A14" s="33" t="s">
        <v>17</v>
      </c>
      <c r="B14" s="34">
        <f>MIN(1,MAX(0,YEARFRAC(B16,B10)/B17))</f>
        <v>2.4074074074074074E-2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4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4" x14ac:dyDescent="0.2">
      <c r="A16" s="30" t="s">
        <v>18</v>
      </c>
      <c r="B16" s="31">
        <v>46113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5" x14ac:dyDescent="0.2">
      <c r="A17" s="30" t="s">
        <v>19</v>
      </c>
      <c r="B17" s="35">
        <v>15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5" x14ac:dyDescent="0.2">
      <c r="A18" s="30" t="s">
        <v>20</v>
      </c>
      <c r="B18" s="36">
        <f>EDATE(B16,B17*12)</f>
        <v>51592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5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5" x14ac:dyDescent="0.2">
      <c r="A20" s="30" t="s">
        <v>21</v>
      </c>
      <c r="B20" s="37">
        <v>1850000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5" x14ac:dyDescent="0.2">
      <c r="A21" s="33" t="s">
        <v>22</v>
      </c>
      <c r="B21" s="38">
        <v>1200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5" x14ac:dyDescent="0.2">
      <c r="A22" s="33" t="s">
        <v>23</v>
      </c>
      <c r="B22" s="38">
        <v>1175</v>
      </c>
      <c r="C22" s="39">
        <f>+B22+B23</f>
        <v>1200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5" x14ac:dyDescent="0.2">
      <c r="A23" s="33" t="s">
        <v>24</v>
      </c>
      <c r="B23" s="38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5" x14ac:dyDescent="0.2">
      <c r="A24" s="33" t="s">
        <v>25</v>
      </c>
      <c r="B24" s="38">
        <f>+B21-(B22+B23)</f>
        <v>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5" x14ac:dyDescent="0.2">
      <c r="A25" s="33" t="s">
        <v>26</v>
      </c>
      <c r="B25" s="38">
        <v>12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5" x14ac:dyDescent="0.2">
      <c r="A26" s="33" t="s">
        <v>27</v>
      </c>
      <c r="B26" s="38">
        <v>48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5" x14ac:dyDescent="0.2">
      <c r="A27" s="208" t="s">
        <v>28</v>
      </c>
      <c r="B27" s="211"/>
      <c r="C27" s="208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5" x14ac:dyDescent="0.2">
      <c r="A28" s="40" t="s">
        <v>29</v>
      </c>
      <c r="B28" s="41">
        <v>1080000</v>
      </c>
      <c r="C28" s="19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5" x14ac:dyDescent="0.2">
      <c r="A29" s="40" t="s">
        <v>30</v>
      </c>
      <c r="B29" s="41">
        <v>190</v>
      </c>
      <c r="C29" s="19"/>
      <c r="D29" s="15"/>
      <c r="E29" s="42"/>
      <c r="F29" s="43"/>
      <c r="G29" s="44" t="s">
        <v>63</v>
      </c>
      <c r="H29" s="45">
        <v>435.63333333333344</v>
      </c>
      <c r="I29" s="46">
        <v>0.10894283189676733</v>
      </c>
      <c r="J29" s="15"/>
      <c r="K29" s="15"/>
      <c r="L29" s="15"/>
      <c r="M29" s="15"/>
    </row>
    <row r="30" spans="1:15" x14ac:dyDescent="0.2">
      <c r="A30" s="47" t="s">
        <v>31</v>
      </c>
      <c r="B30" s="48">
        <v>8600000</v>
      </c>
      <c r="C30" s="49">
        <f>+B30/$B$37</f>
        <v>73504.2735042735</v>
      </c>
      <c r="D30" s="15"/>
      <c r="E30" s="15"/>
      <c r="F30" s="42"/>
      <c r="G30" s="44" t="s">
        <v>64</v>
      </c>
      <c r="H30" s="45">
        <v>361.13333333333333</v>
      </c>
      <c r="I30" s="46">
        <v>9.0311932111835413E-2</v>
      </c>
      <c r="J30" s="15"/>
      <c r="K30" s="15"/>
      <c r="L30" s="15"/>
      <c r="M30" s="15"/>
      <c r="N30"/>
      <c r="O30"/>
    </row>
    <row r="31" spans="1:15" x14ac:dyDescent="0.2">
      <c r="A31" s="47" t="s">
        <v>32</v>
      </c>
      <c r="B31" s="48">
        <v>2600000</v>
      </c>
      <c r="C31" s="49">
        <f>+B31/$B$37</f>
        <v>22222.222222222223</v>
      </c>
      <c r="D31" s="15"/>
      <c r="E31" s="15"/>
      <c r="F31" s="15"/>
      <c r="G31" s="44" t="s">
        <v>65</v>
      </c>
      <c r="H31" s="45">
        <v>352.51666666666677</v>
      </c>
      <c r="I31" s="46">
        <v>8.8157083076307513E-2</v>
      </c>
      <c r="J31" s="15"/>
      <c r="K31" s="15"/>
      <c r="L31" s="15"/>
      <c r="M31" s="15"/>
      <c r="N31"/>
      <c r="O31"/>
    </row>
    <row r="32" spans="1:15" x14ac:dyDescent="0.2">
      <c r="A32" s="47" t="s">
        <v>33</v>
      </c>
      <c r="B32" s="50">
        <f>SUM(B30:B31)</f>
        <v>11200000</v>
      </c>
      <c r="C32" s="51">
        <f>+B32/B37</f>
        <v>95726.495726495719</v>
      </c>
      <c r="D32" s="15"/>
      <c r="E32" s="52"/>
      <c r="F32" s="15"/>
      <c r="G32" s="44" t="s">
        <v>4</v>
      </c>
      <c r="H32" s="45">
        <v>291.81666666666666</v>
      </c>
      <c r="I32" s="46">
        <v>7.2977276137443522E-2</v>
      </c>
      <c r="J32" s="15"/>
      <c r="K32" s="15"/>
      <c r="L32" s="15"/>
      <c r="M32" s="15"/>
      <c r="N32"/>
      <c r="O32"/>
    </row>
    <row r="33" spans="1:15" x14ac:dyDescent="0.2">
      <c r="A33" s="47" t="s">
        <v>34</v>
      </c>
      <c r="B33" s="53">
        <v>8.1999999999999993</v>
      </c>
      <c r="C33" s="15"/>
      <c r="D33" s="15"/>
      <c r="E33" s="42"/>
      <c r="F33" s="15"/>
      <c r="G33" s="44" t="s">
        <v>66</v>
      </c>
      <c r="H33" s="45">
        <v>255.8</v>
      </c>
      <c r="I33" s="46">
        <v>6.3970257248128576E-2</v>
      </c>
      <c r="J33" s="15"/>
      <c r="K33" s="15"/>
      <c r="L33" s="15"/>
      <c r="M33" s="15"/>
      <c r="N33"/>
      <c r="O33"/>
    </row>
    <row r="34" spans="1:15" x14ac:dyDescent="0.2">
      <c r="A34" s="47" t="s">
        <v>35</v>
      </c>
      <c r="B34" s="53">
        <f>B33/B37</f>
        <v>7.0085470085470086E-2</v>
      </c>
      <c r="C34" s="15"/>
      <c r="D34" s="15"/>
      <c r="E34" s="15"/>
      <c r="F34" s="15"/>
      <c r="G34" s="44" t="s">
        <v>67</v>
      </c>
      <c r="H34" s="45">
        <v>223.11666666666673</v>
      </c>
      <c r="I34" s="46">
        <v>5.5796835664627148E-2</v>
      </c>
      <c r="J34" s="15"/>
      <c r="K34" s="15"/>
      <c r="L34" s="15"/>
      <c r="M34" s="15"/>
      <c r="N34"/>
      <c r="O34"/>
    </row>
    <row r="35" spans="1:15" x14ac:dyDescent="0.2">
      <c r="A35" s="209" t="s">
        <v>36</v>
      </c>
      <c r="B35" s="216">
        <v>68000</v>
      </c>
      <c r="C35" s="15"/>
      <c r="D35" s="15"/>
      <c r="E35" s="15"/>
      <c r="F35" s="15"/>
      <c r="G35" s="44" t="s">
        <v>68</v>
      </c>
      <c r="H35" s="45">
        <v>241.25000000000006</v>
      </c>
      <c r="I35" s="46">
        <v>6.0331605008252624E-2</v>
      </c>
      <c r="J35" s="15"/>
      <c r="K35" s="15"/>
      <c r="L35" s="15"/>
      <c r="M35" s="15"/>
      <c r="N35"/>
      <c r="O35"/>
    </row>
    <row r="36" spans="1:15" x14ac:dyDescent="0.2">
      <c r="A36" s="210"/>
      <c r="B36" s="217"/>
      <c r="C36" s="15"/>
      <c r="D36" s="54"/>
      <c r="E36" s="15"/>
      <c r="F36" s="15"/>
      <c r="G36" s="44" t="s">
        <v>69</v>
      </c>
      <c r="H36" s="45">
        <v>281.0333333333333</v>
      </c>
      <c r="I36" s="46">
        <v>7.0280588853136816E-2</v>
      </c>
      <c r="J36" s="15"/>
      <c r="K36" s="15"/>
      <c r="L36" s="15"/>
      <c r="M36" s="15"/>
      <c r="N36"/>
      <c r="O36"/>
    </row>
    <row r="37" spans="1:15" x14ac:dyDescent="0.2">
      <c r="A37" s="33" t="s">
        <v>37</v>
      </c>
      <c r="B37" s="55">
        <v>117</v>
      </c>
      <c r="C37" s="32"/>
      <c r="D37" s="15"/>
      <c r="E37" s="15"/>
      <c r="F37" s="15"/>
      <c r="G37" s="44" t="s">
        <v>70</v>
      </c>
      <c r="H37" s="45">
        <v>319.61666666666662</v>
      </c>
      <c r="I37" s="46">
        <v>7.9929477667928156E-2</v>
      </c>
      <c r="J37" s="15"/>
      <c r="K37" s="15"/>
      <c r="L37" s="15"/>
      <c r="M37" s="15"/>
      <c r="N37"/>
      <c r="O37"/>
    </row>
    <row r="38" spans="1:15" x14ac:dyDescent="0.2">
      <c r="A38" s="15"/>
      <c r="B38" s="23"/>
      <c r="C38" s="15"/>
      <c r="D38" s="15"/>
      <c r="E38" s="15"/>
      <c r="F38" s="15"/>
      <c r="G38" s="44" t="s">
        <v>71</v>
      </c>
      <c r="H38" s="45">
        <v>379.43333333333339</v>
      </c>
      <c r="I38" s="46">
        <v>9.4888381320751586E-2</v>
      </c>
      <c r="J38" s="15"/>
      <c r="K38" s="15"/>
      <c r="L38" s="15"/>
      <c r="M38" s="15"/>
      <c r="N38"/>
      <c r="O38"/>
    </row>
    <row r="39" spans="1:15" x14ac:dyDescent="0.2">
      <c r="A39" s="47" t="s">
        <v>38</v>
      </c>
      <c r="B39" s="56">
        <v>190</v>
      </c>
      <c r="C39" s="15"/>
      <c r="D39" s="15"/>
      <c r="E39" s="15"/>
      <c r="F39" s="15"/>
      <c r="G39" s="44" t="s">
        <v>72</v>
      </c>
      <c r="H39" s="45">
        <v>410.56666666666661</v>
      </c>
      <c r="I39" s="46">
        <v>0.10267418015704971</v>
      </c>
      <c r="J39" s="15"/>
      <c r="K39" s="15"/>
      <c r="L39" s="15"/>
      <c r="M39" s="15"/>
      <c r="N39"/>
      <c r="O39"/>
    </row>
    <row r="40" spans="1:15" x14ac:dyDescent="0.2">
      <c r="A40" s="47" t="s">
        <v>39</v>
      </c>
      <c r="B40" s="57">
        <v>380000</v>
      </c>
      <c r="C40" s="15"/>
      <c r="D40" s="15"/>
      <c r="E40" s="15"/>
      <c r="F40" s="15"/>
      <c r="G40" s="44" t="s">
        <v>73</v>
      </c>
      <c r="H40" s="45">
        <v>446.81666666666661</v>
      </c>
      <c r="I40" s="46">
        <v>0.11173955085777161</v>
      </c>
      <c r="J40" s="15"/>
      <c r="K40" s="15"/>
      <c r="L40" s="15"/>
      <c r="M40" s="15"/>
      <c r="N40"/>
      <c r="O40"/>
    </row>
    <row r="41" spans="1:15" x14ac:dyDescent="0.2">
      <c r="A41" s="33" t="s">
        <v>40</v>
      </c>
      <c r="B41" s="58">
        <f>Projection!B17</f>
        <v>399873</v>
      </c>
      <c r="C41" s="59"/>
      <c r="D41" s="15"/>
      <c r="E41" s="15"/>
      <c r="F41" s="15"/>
      <c r="G41" s="44"/>
      <c r="H41" s="60">
        <f>+SUM(H29:H40)</f>
        <v>3998.7333333333336</v>
      </c>
      <c r="I41" s="61">
        <f>+SUM(I29:I40)</f>
        <v>1</v>
      </c>
      <c r="J41" s="15"/>
      <c r="K41" s="15"/>
      <c r="L41" s="15"/>
      <c r="M41" s="15"/>
      <c r="N41"/>
      <c r="O41"/>
    </row>
    <row r="42" spans="1:15" x14ac:dyDescent="0.2">
      <c r="A42" s="47" t="s">
        <v>41</v>
      </c>
      <c r="B42" s="62">
        <f>B41*B34</f>
        <v>28025.287179487179</v>
      </c>
      <c r="C42" s="15"/>
      <c r="D42" s="15"/>
      <c r="E42" s="42"/>
      <c r="F42" s="15"/>
      <c r="G42" s="15"/>
      <c r="H42" s="15"/>
      <c r="I42" s="15"/>
      <c r="J42" s="15"/>
      <c r="K42" s="15"/>
      <c r="L42" s="15"/>
      <c r="M42" s="15"/>
      <c r="N42"/>
      <c r="O42"/>
    </row>
    <row r="43" spans="1:15" x14ac:dyDescent="0.2">
      <c r="A43" s="47" t="s">
        <v>42</v>
      </c>
      <c r="B43" s="63">
        <v>0</v>
      </c>
      <c r="C43" s="15"/>
      <c r="D43" s="15"/>
      <c r="E43" s="42"/>
      <c r="F43" s="15"/>
      <c r="G43" s="15"/>
      <c r="H43" s="15"/>
      <c r="I43" s="15"/>
      <c r="J43" s="15"/>
      <c r="K43" s="15"/>
      <c r="L43" s="15"/>
      <c r="M43" s="15"/>
      <c r="N43"/>
      <c r="O43"/>
    </row>
    <row r="44" spans="1:15" x14ac:dyDescent="0.2">
      <c r="A44" s="47" t="s">
        <v>43</v>
      </c>
      <c r="B44" s="63">
        <f>+B28-B40</f>
        <v>700000</v>
      </c>
      <c r="C44" s="15"/>
      <c r="D44" s="15"/>
      <c r="E44" s="42"/>
      <c r="F44" s="15"/>
      <c r="G44" s="15"/>
      <c r="H44" s="15"/>
      <c r="I44" s="15"/>
      <c r="J44" s="15"/>
      <c r="K44" s="15"/>
      <c r="L44" s="15"/>
      <c r="M44" s="15"/>
      <c r="N44"/>
      <c r="O44"/>
    </row>
    <row r="45" spans="1:15" x14ac:dyDescent="0.2">
      <c r="A45" s="47" t="s">
        <v>44</v>
      </c>
      <c r="B45" s="63">
        <f>C30-B42</f>
        <v>45478.986324786325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/>
      <c r="O45"/>
    </row>
    <row r="46" spans="1:15" x14ac:dyDescent="0.2">
      <c r="A46" s="47" t="s">
        <v>45</v>
      </c>
      <c r="B46" s="64">
        <f>+C31-B43</f>
        <v>22222.222222222223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/>
      <c r="O46"/>
    </row>
    <row r="47" spans="1:15" x14ac:dyDescent="0.2">
      <c r="A47" s="47" t="s">
        <v>46</v>
      </c>
      <c r="B47" s="37">
        <v>18000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/>
      <c r="O47"/>
    </row>
    <row r="48" spans="1:15" x14ac:dyDescent="0.2">
      <c r="A48" s="47" t="s">
        <v>47</v>
      </c>
      <c r="B48" s="65">
        <f>B47/B35</f>
        <v>0.26470588235294118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/>
      <c r="O48"/>
    </row>
    <row r="49" spans="1:15" x14ac:dyDescent="0.2">
      <c r="A49" s="17"/>
      <c r="B49" s="66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/>
      <c r="O49"/>
    </row>
    <row r="50" spans="1:15" x14ac:dyDescent="0.2">
      <c r="A50" s="17" t="s">
        <v>48</v>
      </c>
      <c r="B50" s="67">
        <v>4000</v>
      </c>
      <c r="C50" s="15">
        <v>4000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/>
      <c r="O50"/>
    </row>
    <row r="51" spans="1:15" x14ac:dyDescent="0.2">
      <c r="A51" s="15"/>
      <c r="B51" s="214"/>
      <c r="C51" s="215"/>
      <c r="D51" s="212"/>
      <c r="E51" s="213"/>
      <c r="F51" s="15"/>
      <c r="G51" s="15"/>
      <c r="H51" s="15"/>
      <c r="I51" s="15"/>
      <c r="J51" s="15"/>
      <c r="K51" s="15"/>
      <c r="L51" s="15"/>
      <c r="M51" s="15"/>
      <c r="N51"/>
      <c r="O51"/>
    </row>
    <row r="52" spans="1:15" x14ac:dyDescent="0.2">
      <c r="A52" s="10" t="s">
        <v>49</v>
      </c>
      <c r="B52" s="10" t="s">
        <v>2</v>
      </c>
      <c r="C52" s="10" t="s">
        <v>3</v>
      </c>
      <c r="D52" s="10" t="s">
        <v>2</v>
      </c>
      <c r="E52" s="10" t="s">
        <v>3</v>
      </c>
      <c r="F52" s="15"/>
      <c r="G52" s="15"/>
      <c r="H52" s="15"/>
      <c r="I52" s="15"/>
      <c r="J52" s="15"/>
      <c r="K52" s="15"/>
      <c r="L52" s="15"/>
      <c r="M52" s="15"/>
      <c r="N52"/>
    </row>
    <row r="53" spans="1:15" x14ac:dyDescent="0.2">
      <c r="A53" s="68" t="s">
        <v>50</v>
      </c>
      <c r="B53" s="38">
        <v>0</v>
      </c>
      <c r="C53" s="69">
        <f>+B53*B50</f>
        <v>0</v>
      </c>
      <c r="D53" s="55">
        <v>0</v>
      </c>
      <c r="E53" s="70">
        <f>+D53*C50</f>
        <v>0</v>
      </c>
      <c r="F53" s="15"/>
      <c r="G53" s="15"/>
      <c r="H53" s="15"/>
      <c r="I53" s="15"/>
      <c r="J53" s="15"/>
      <c r="K53" s="15"/>
      <c r="L53" s="15"/>
      <c r="M53" s="15"/>
      <c r="N53"/>
    </row>
    <row r="54" spans="1:15" x14ac:dyDescent="0.2">
      <c r="A54" s="71" t="s">
        <v>51</v>
      </c>
      <c r="B54" s="38">
        <v>120</v>
      </c>
      <c r="C54" s="69"/>
      <c r="D54" s="55">
        <v>120</v>
      </c>
      <c r="E54" s="70"/>
      <c r="F54" s="15"/>
      <c r="G54" s="15"/>
      <c r="H54" s="15"/>
      <c r="I54" s="15"/>
      <c r="J54" s="15"/>
      <c r="K54" s="15"/>
      <c r="L54" s="15"/>
      <c r="M54" s="15"/>
      <c r="N54"/>
    </row>
    <row r="55" spans="1:15" x14ac:dyDescent="0.2">
      <c r="A55" s="15" t="s">
        <v>52</v>
      </c>
      <c r="B55" s="38">
        <f>+B54*0.71</f>
        <v>85.199999999999989</v>
      </c>
      <c r="C55" s="69">
        <f>+B55*B50</f>
        <v>340799.99999999994</v>
      </c>
      <c r="D55" s="38">
        <f>+D54*0.7</f>
        <v>84</v>
      </c>
      <c r="E55" s="70">
        <f>+D55*C50</f>
        <v>336000</v>
      </c>
      <c r="F55" s="15"/>
      <c r="G55" s="15"/>
      <c r="H55" s="15"/>
      <c r="I55" s="15"/>
      <c r="J55" s="15"/>
      <c r="K55" s="15"/>
      <c r="L55" s="15"/>
      <c r="M55" s="15"/>
      <c r="N55"/>
    </row>
    <row r="56" spans="1:15" x14ac:dyDescent="0.2">
      <c r="A56" s="72" t="s">
        <v>0</v>
      </c>
      <c r="B56" s="55">
        <f>+B53+B55</f>
        <v>85.199999999999989</v>
      </c>
      <c r="C56" s="69">
        <f>+B56*B50</f>
        <v>340799.99999999994</v>
      </c>
      <c r="D56" s="55">
        <f>+D53+D55</f>
        <v>84</v>
      </c>
      <c r="E56" s="73">
        <f>+E53+E55</f>
        <v>336000</v>
      </c>
      <c r="F56" s="15"/>
      <c r="G56" s="15"/>
      <c r="H56" s="74"/>
      <c r="I56" s="15"/>
      <c r="J56" s="15"/>
      <c r="K56" s="15"/>
      <c r="L56" s="15"/>
      <c r="M56" s="15"/>
    </row>
    <row r="57" spans="1:15" x14ac:dyDescent="0.2">
      <c r="A57" s="75" t="s">
        <v>53</v>
      </c>
      <c r="B57" s="38">
        <v>10</v>
      </c>
      <c r="C57" s="69">
        <f>+B57*B50</f>
        <v>40000</v>
      </c>
      <c r="D57" s="38">
        <v>10</v>
      </c>
      <c r="E57" s="70">
        <f>+D57*C50</f>
        <v>40000</v>
      </c>
      <c r="F57" s="15"/>
      <c r="G57" s="15"/>
      <c r="H57" s="15"/>
      <c r="I57" s="15"/>
      <c r="J57" s="15"/>
      <c r="K57" s="15"/>
      <c r="L57" s="15"/>
      <c r="M57" s="15"/>
    </row>
    <row r="58" spans="1:15" x14ac:dyDescent="0.2">
      <c r="A58" s="72" t="s">
        <v>0</v>
      </c>
      <c r="B58" s="55">
        <f>+B57+B56</f>
        <v>95.199999999999989</v>
      </c>
      <c r="C58" s="69">
        <f>+B58*B50</f>
        <v>380799.99999999994</v>
      </c>
      <c r="D58" s="38">
        <f>+D56+D57</f>
        <v>94</v>
      </c>
      <c r="E58" s="73">
        <f>+E56+E57</f>
        <v>376000</v>
      </c>
      <c r="F58" s="15"/>
      <c r="G58" s="15"/>
      <c r="H58" s="15"/>
      <c r="I58" s="15"/>
      <c r="J58" s="15"/>
      <c r="K58" s="15"/>
      <c r="L58" s="15"/>
      <c r="M58" s="15"/>
    </row>
    <row r="59" spans="1:15" x14ac:dyDescent="0.2">
      <c r="A59" s="15"/>
      <c r="B59" s="38"/>
      <c r="C59" s="38"/>
      <c r="D59" s="38"/>
      <c r="E59" s="70"/>
      <c r="F59" s="15"/>
      <c r="G59" s="15"/>
      <c r="H59" s="15"/>
      <c r="I59" s="15"/>
      <c r="J59" s="15"/>
      <c r="K59" s="15"/>
      <c r="L59" s="15"/>
      <c r="M59" s="15"/>
    </row>
    <row r="60" spans="1:15" x14ac:dyDescent="0.2">
      <c r="A60" s="71" t="s">
        <v>54</v>
      </c>
      <c r="B60" s="38">
        <v>4.7682500000000001</v>
      </c>
      <c r="C60" s="69">
        <f>+B60*B50</f>
        <v>19073</v>
      </c>
      <c r="D60" s="53">
        <v>4.7682500000000001</v>
      </c>
      <c r="E60" s="70">
        <f>+D60*C50</f>
        <v>19073</v>
      </c>
      <c r="F60" s="15"/>
      <c r="G60" s="15"/>
      <c r="H60" s="15"/>
      <c r="I60" s="15"/>
      <c r="J60" s="15"/>
      <c r="K60" s="15"/>
      <c r="L60" s="15"/>
      <c r="M60" s="15"/>
    </row>
    <row r="61" spans="1:15" x14ac:dyDescent="0.2">
      <c r="A61" s="72" t="s">
        <v>0</v>
      </c>
      <c r="B61" s="76">
        <f>+B58+B60</f>
        <v>99.968249999999983</v>
      </c>
      <c r="C61" s="77">
        <f>+B61*B50</f>
        <v>399872.99999999994</v>
      </c>
      <c r="D61" s="78">
        <f>+D58+D60</f>
        <v>98.768249999999995</v>
      </c>
      <c r="E61" s="73">
        <f>+E58+E60</f>
        <v>395073</v>
      </c>
      <c r="F61" s="15"/>
      <c r="G61" s="15"/>
      <c r="H61" s="15"/>
      <c r="I61" s="15"/>
      <c r="J61" s="15"/>
      <c r="K61" s="15"/>
      <c r="L61" s="15"/>
      <c r="M61" s="15"/>
    </row>
    <row r="62" spans="1:15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5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5" x14ac:dyDescent="0.2">
      <c r="A64" s="208" t="s">
        <v>55</v>
      </c>
      <c r="B64" s="208"/>
      <c r="C64" s="208"/>
      <c r="D64" s="208"/>
      <c r="E64" s="208"/>
      <c r="F64" s="208"/>
      <c r="G64" s="208"/>
      <c r="H64" s="208"/>
      <c r="I64" s="208"/>
      <c r="J64" s="15"/>
      <c r="K64" s="15"/>
      <c r="L64" s="15"/>
      <c r="M64" s="15"/>
    </row>
    <row r="65" spans="1:13" ht="45" x14ac:dyDescent="0.2">
      <c r="A65" s="10" t="s">
        <v>56</v>
      </c>
      <c r="B65" s="10" t="s">
        <v>57</v>
      </c>
      <c r="C65" s="10" t="s">
        <v>38</v>
      </c>
      <c r="D65" s="10" t="s">
        <v>48</v>
      </c>
      <c r="E65" s="10" t="s">
        <v>58</v>
      </c>
      <c r="F65" s="10" t="s">
        <v>59</v>
      </c>
      <c r="G65" s="10" t="s">
        <v>60</v>
      </c>
      <c r="H65" s="10" t="s">
        <v>61</v>
      </c>
      <c r="I65" s="10" t="s">
        <v>62</v>
      </c>
      <c r="J65" s="15"/>
      <c r="K65" s="15"/>
      <c r="L65" s="15"/>
      <c r="M65" s="15"/>
    </row>
    <row r="66" spans="1:13" x14ac:dyDescent="0.2">
      <c r="A66" s="38" t="s">
        <v>78</v>
      </c>
      <c r="B66" s="38">
        <v>46113</v>
      </c>
      <c r="C66" s="38">
        <v>120</v>
      </c>
      <c r="D66" s="38">
        <v>4000</v>
      </c>
      <c r="E66" s="109">
        <v>0.71</v>
      </c>
      <c r="F66" s="38">
        <v>340800</v>
      </c>
      <c r="G66" s="38">
        <v>399873</v>
      </c>
      <c r="H66" s="38">
        <v>46113</v>
      </c>
      <c r="I66" s="38" t="s">
        <v>79</v>
      </c>
      <c r="J66" s="15"/>
      <c r="K66" s="15"/>
      <c r="L66" s="15"/>
      <c r="M66" s="15"/>
    </row>
    <row r="67" spans="1:13" x14ac:dyDescent="0.2">
      <c r="A67" s="38" t="s">
        <v>80</v>
      </c>
      <c r="B67" s="38">
        <v>46204</v>
      </c>
      <c r="C67" s="38">
        <v>4.5</v>
      </c>
      <c r="D67" s="38">
        <v>4000</v>
      </c>
      <c r="E67" s="109">
        <v>0.7</v>
      </c>
      <c r="F67" s="38">
        <v>12600</v>
      </c>
      <c r="G67" s="38">
        <v>412473</v>
      </c>
      <c r="H67" s="38">
        <v>46204</v>
      </c>
      <c r="I67" s="38" t="s">
        <v>81</v>
      </c>
      <c r="J67" s="15"/>
      <c r="K67" s="15"/>
      <c r="L67" s="15"/>
      <c r="M67" s="15"/>
    </row>
    <row r="68" spans="1:13" x14ac:dyDescent="0.2">
      <c r="A68" s="38" t="s">
        <v>82</v>
      </c>
      <c r="B68" s="38">
        <v>46357</v>
      </c>
      <c r="C68" s="38">
        <v>-3</v>
      </c>
      <c r="D68" s="38">
        <v>4000</v>
      </c>
      <c r="E68" s="109">
        <v>0.74</v>
      </c>
      <c r="F68" s="38">
        <v>-8880</v>
      </c>
      <c r="G68" s="38">
        <v>403593</v>
      </c>
      <c r="H68" s="38">
        <v>46357</v>
      </c>
      <c r="I68" s="38" t="s">
        <v>83</v>
      </c>
      <c r="J68" s="15"/>
      <c r="K68" s="15"/>
      <c r="L68" s="15"/>
      <c r="M68" s="15"/>
    </row>
    <row r="69" spans="1:13" x14ac:dyDescent="0.2">
      <c r="A69" s="33"/>
      <c r="B69" s="33"/>
      <c r="C69" s="33"/>
      <c r="D69" s="33"/>
      <c r="E69" s="33"/>
      <c r="F69" s="33"/>
      <c r="G69" s="33"/>
      <c r="H69" s="33"/>
      <c r="I69" s="33"/>
      <c r="J69" s="15"/>
      <c r="K69" s="15"/>
      <c r="L69" s="15"/>
      <c r="M69" s="15"/>
    </row>
    <row r="70" spans="1:13" x14ac:dyDescent="0.2">
      <c r="A70" s="33"/>
      <c r="B70" s="33"/>
      <c r="C70" s="33"/>
      <c r="D70" s="33"/>
      <c r="E70" s="33"/>
      <c r="F70" s="33"/>
      <c r="G70" s="33"/>
      <c r="H70" s="33"/>
      <c r="I70" s="33"/>
      <c r="J70" s="15"/>
      <c r="K70" s="15"/>
      <c r="L70" s="15"/>
      <c r="M70" s="15"/>
    </row>
    <row r="71" spans="1:13" x14ac:dyDescent="0.2">
      <c r="A71" s="33"/>
      <c r="B71" s="33"/>
      <c r="C71" s="33"/>
      <c r="D71" s="33"/>
      <c r="E71" s="33"/>
      <c r="F71" s="33"/>
      <c r="G71" s="33"/>
      <c r="H71" s="33"/>
      <c r="I71" s="33"/>
      <c r="J71" s="15"/>
      <c r="K71" s="15"/>
      <c r="L71" s="15"/>
      <c r="M71" s="15"/>
    </row>
    <row r="72" spans="1:13" x14ac:dyDescent="0.2">
      <c r="A72" s="33"/>
      <c r="B72" s="33"/>
      <c r="C72" s="33"/>
      <c r="D72" s="33"/>
      <c r="E72" s="33"/>
      <c r="F72" s="33"/>
      <c r="G72" s="33"/>
      <c r="H72" s="33"/>
      <c r="I72" s="33"/>
      <c r="J72" s="15"/>
      <c r="K72" s="15"/>
      <c r="L72" s="15"/>
      <c r="M72" s="15"/>
    </row>
    <row r="73" spans="1:13" x14ac:dyDescent="0.2">
      <c r="A73" s="33"/>
      <c r="B73" s="33"/>
      <c r="C73" s="33"/>
      <c r="D73" s="33"/>
      <c r="E73" s="33"/>
      <c r="F73" s="33"/>
      <c r="G73" s="33"/>
      <c r="H73" s="33"/>
      <c r="I73" s="33"/>
      <c r="J73" s="15"/>
      <c r="K73" s="15"/>
      <c r="L73" s="15"/>
      <c r="M73" s="15"/>
    </row>
    <row r="74" spans="1:13" x14ac:dyDescent="0.2">
      <c r="A74" s="33"/>
      <c r="B74" s="33"/>
      <c r="C74" s="33"/>
      <c r="D74" s="33"/>
      <c r="E74" s="33"/>
      <c r="F74" s="33"/>
      <c r="G74" s="33"/>
      <c r="H74" s="33"/>
      <c r="I74" s="33"/>
      <c r="J74" s="15"/>
      <c r="K74" s="15"/>
      <c r="L74" s="15"/>
      <c r="M74" s="15"/>
    </row>
    <row r="75" spans="1:13" x14ac:dyDescent="0.2">
      <c r="A75" s="33"/>
      <c r="B75" s="33"/>
      <c r="C75" s="33"/>
      <c r="D75" s="33"/>
      <c r="E75" s="33"/>
      <c r="F75" s="33"/>
      <c r="G75" s="33"/>
      <c r="H75" s="33"/>
      <c r="I75" s="33"/>
      <c r="J75" s="15"/>
      <c r="K75" s="15"/>
      <c r="L75" s="15"/>
      <c r="M75" s="15"/>
    </row>
    <row r="76" spans="1:13" x14ac:dyDescent="0.2">
      <c r="A76" s="33"/>
      <c r="B76" s="33"/>
      <c r="C76" s="33"/>
      <c r="D76" s="33"/>
      <c r="E76" s="33"/>
      <c r="F76" s="33"/>
      <c r="G76" s="33"/>
      <c r="H76" s="33"/>
      <c r="I76" s="33"/>
      <c r="J76" s="15"/>
      <c r="K76" s="15"/>
      <c r="L76" s="15"/>
      <c r="M76" s="15"/>
    </row>
    <row r="77" spans="1:13" x14ac:dyDescent="0.2">
      <c r="A77" s="33"/>
      <c r="B77" s="33"/>
      <c r="C77" s="33"/>
      <c r="D77" s="33"/>
      <c r="E77" s="33"/>
      <c r="F77" s="33"/>
      <c r="G77" s="33"/>
      <c r="H77" s="33"/>
      <c r="I77" s="33"/>
      <c r="J77" s="15"/>
      <c r="K77" s="15"/>
      <c r="L77" s="15"/>
      <c r="M77" s="15"/>
    </row>
    <row r="78" spans="1:13" x14ac:dyDescent="0.2">
      <c r="A78" s="33"/>
      <c r="B78" s="33"/>
      <c r="C78" s="33"/>
      <c r="D78" s="33"/>
      <c r="E78" s="33"/>
      <c r="F78" s="33"/>
      <c r="G78" s="33"/>
      <c r="H78" s="33"/>
      <c r="I78" s="33"/>
      <c r="J78" s="15"/>
      <c r="K78" s="15"/>
      <c r="L78" s="15"/>
      <c r="M78" s="15"/>
    </row>
  </sheetData>
  <mergeCells count="11">
    <mergeCell ref="B1:J1"/>
    <mergeCell ref="K1:M1"/>
    <mergeCell ref="A64:I64"/>
    <mergeCell ref="A35:A36"/>
    <mergeCell ref="A27:C27"/>
    <mergeCell ref="D51:E51"/>
    <mergeCell ref="B51:C51"/>
    <mergeCell ref="B35:B36"/>
    <mergeCell ref="B2:M2"/>
    <mergeCell ref="B3:C3"/>
    <mergeCell ref="B4:C4"/>
  </mergeCells>
  <conditionalFormatting sqref="B12">
    <cfRule type="dataBar" priority="2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{CF70F5A9-7BD5-444F-A26D-3D8731F14E25}</x14:id>
        </ext>
      </extLst>
    </cfRule>
  </conditionalFormatting>
  <conditionalFormatting sqref="B12:B14"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{B6704874-003D-44C6-878B-D272DBC7DA7D}</x14:id>
        </ext>
      </extLst>
    </cfRule>
  </conditionalFormatting>
  <conditionalFormatting sqref="B13">
    <cfRule type="dataBar" priority="1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{F890884A-408D-42E1-B9ED-32063186D362}</x14:id>
        </ext>
      </extLst>
    </cfRule>
  </conditionalFormatting>
  <conditionalFormatting sqref="B13:B14">
    <cfRule type="dataBar" priority="4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{1CADF821-A01C-40AA-B672-CD32EE7D0681}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70F5A9-7BD5-444F-A26D-3D8731F14E25}">
            <x14:dataBar minLength="0" maxLength="100" border="1" gradient="0" negativeBarBorderColorSameAsPositive="0">
              <x14:cfvo type="autoMin"/>
              <x14:cfvo type="autoMax"/>
              <x14:borderColor rgb="FF17365D"/>
              <x14:negativeFillColor rgb="FF9DC3E6"/>
              <x14:negativeBorderColor rgb="FF2F75B5"/>
              <x14:axisColor rgb="FF17365D"/>
            </x14:dataBar>
          </x14:cfRule>
          <xm:sqref>B12</xm:sqref>
        </x14:conditionalFormatting>
        <x14:conditionalFormatting xmlns:xm="http://schemas.microsoft.com/office/excel/2006/main">
          <x14:cfRule type="dataBar" id="{B6704874-003D-44C6-878B-D272DBC7DA7D}">
            <x14:dataBar minLength="0" maxLength="100" border="1" gradient="0" negativeBarBorderColorSameAsPositive="0">
              <x14:cfvo type="autoMin"/>
              <x14:cfvo type="autoMax"/>
              <x14:borderColor rgb="FF17365D"/>
              <x14:negativeFillColor rgb="FF9DC3E6"/>
              <x14:negativeBorderColor rgb="FF2F75B5"/>
              <x14:axisColor rgb="FF17365D"/>
            </x14:dataBar>
          </x14:cfRule>
          <xm:sqref>B12:B14</xm:sqref>
        </x14:conditionalFormatting>
        <x14:conditionalFormatting xmlns:xm="http://schemas.microsoft.com/office/excel/2006/main">
          <x14:cfRule type="dataBar" id="{F890884A-408D-42E1-B9ED-32063186D362}">
            <x14:dataBar minLength="0" maxLength="100" border="1" gradient="0" negativeBarBorderColorSameAsPositive="0">
              <x14:cfvo type="autoMin"/>
              <x14:cfvo type="autoMax"/>
              <x14:borderColor rgb="FF17365D"/>
              <x14:negativeFillColor rgb="FF9DC3E6"/>
              <x14:negativeBorderColor rgb="FF2F75B5"/>
              <x14:axisColor rgb="FF17365D"/>
            </x14:dataBar>
          </x14:cfRule>
          <xm:sqref>B13</xm:sqref>
        </x14:conditionalFormatting>
        <x14:conditionalFormatting xmlns:xm="http://schemas.microsoft.com/office/excel/2006/main">
          <x14:cfRule type="dataBar" id="{1CADF821-A01C-40AA-B672-CD32EE7D0681}">
            <x14:dataBar minLength="0" maxLength="100" border="1" gradient="0" negativeBarBorderColorSameAsPositive="0">
              <x14:cfvo type="autoMin"/>
              <x14:cfvo type="autoMax"/>
              <x14:borderColor rgb="FF17365D"/>
              <x14:negativeFillColor rgb="FF9DC3E6"/>
              <x14:negativeBorderColor rgb="FF2F75B5"/>
              <x14:axisColor rgb="FF17365D"/>
            </x14:dataBar>
          </x14:cfRule>
          <xm:sqref>B13:B14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zoomScale="75" zoomScaleNormal="70" workbookViewId="0">
      <selection activeCell="C12" sqref="C12"/>
    </sheetView>
  </sheetViews>
  <sheetFormatPr baseColWidth="10" defaultColWidth="9.1640625" defaultRowHeight="15" x14ac:dyDescent="0.2"/>
  <cols>
    <col min="1" max="1" width="31.6640625" style="2" bestFit="1" customWidth="1"/>
    <col min="2" max="6" width="24.1640625" style="2" customWidth="1"/>
    <col min="7" max="8" width="9.1640625" style="2"/>
    <col min="9" max="9" width="11.5" style="2" customWidth="1"/>
    <col min="10" max="10" width="7.5" style="2" bestFit="1" customWidth="1"/>
    <col min="11" max="11" width="22.5" style="2" bestFit="1" customWidth="1"/>
    <col min="12" max="15" width="9.1640625" style="2"/>
    <col min="16" max="16" width="7.33203125" style="2" bestFit="1" customWidth="1"/>
    <col min="17" max="17" width="24.1640625" style="2" customWidth="1"/>
    <col min="18" max="19" width="9.1640625" style="2"/>
    <col min="20" max="20" width="11" style="2" customWidth="1"/>
    <col min="21" max="16384" width="9.1640625" style="2"/>
  </cols>
  <sheetData>
    <row r="1" spans="1:17" ht="22" x14ac:dyDescent="0.2">
      <c r="A1" s="200" t="s">
        <v>5</v>
      </c>
      <c r="B1" s="201"/>
      <c r="C1" s="200" t="s">
        <v>6</v>
      </c>
      <c r="D1" s="202"/>
      <c r="E1" s="202"/>
      <c r="F1" s="202"/>
      <c r="G1" s="202"/>
      <c r="H1" s="202"/>
      <c r="I1" s="202"/>
      <c r="J1" s="201"/>
      <c r="K1" s="203" t="s">
        <v>7</v>
      </c>
      <c r="L1" s="203"/>
      <c r="M1" s="203"/>
      <c r="N1" s="11"/>
      <c r="O1" s="11"/>
      <c r="P1" s="11"/>
      <c r="Q1" s="11"/>
    </row>
    <row r="2" spans="1:17" x14ac:dyDescent="0.2">
      <c r="A2" s="79" t="s">
        <v>84</v>
      </c>
      <c r="B2" s="80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0" x14ac:dyDescent="0.2">
      <c r="A4" s="120" t="s">
        <v>85</v>
      </c>
      <c r="B4" s="120" t="s">
        <v>86</v>
      </c>
      <c r="C4" s="120" t="s">
        <v>87</v>
      </c>
      <c r="D4" s="120" t="s">
        <v>88</v>
      </c>
      <c r="E4" s="120"/>
      <c r="F4" s="120" t="s">
        <v>89</v>
      </c>
      <c r="G4" s="15"/>
      <c r="H4" s="15"/>
      <c r="I4" s="15"/>
      <c r="J4" s="10" t="s">
        <v>85</v>
      </c>
      <c r="K4" s="10" t="s">
        <v>86</v>
      </c>
      <c r="L4" s="15"/>
      <c r="M4" s="15"/>
      <c r="N4" s="15"/>
      <c r="O4" s="15"/>
      <c r="P4" s="120" t="s">
        <v>90</v>
      </c>
      <c r="Q4" s="120" t="s">
        <v>89</v>
      </c>
    </row>
    <row r="5" spans="1:17" x14ac:dyDescent="0.2">
      <c r="A5" s="126" t="s">
        <v>63</v>
      </c>
      <c r="B5" s="127">
        <f>+'General Data'!$C$61*'General Data'!I29</f>
        <v>43563.297019056037</v>
      </c>
      <c r="C5" s="127">
        <f>B5*'General Data'!$B$33</f>
        <v>357219.03555625945</v>
      </c>
      <c r="D5" s="127">
        <f>B5*'General Data'!$B$34</f>
        <v>3053.1541500535</v>
      </c>
      <c r="E5" s="127"/>
      <c r="F5" s="127">
        <f>+B5*1.05</f>
        <v>45741.461870008839</v>
      </c>
      <c r="G5" s="15"/>
      <c r="H5" s="15"/>
      <c r="I5" s="15"/>
      <c r="J5" s="33" t="s">
        <v>63</v>
      </c>
      <c r="K5" s="44"/>
      <c r="L5" s="15"/>
      <c r="M5" s="15"/>
      <c r="N5" s="15"/>
      <c r="O5" s="15"/>
      <c r="P5" s="222" t="s">
        <v>93</v>
      </c>
      <c r="Q5" s="224">
        <f>+F5+F6+F7</f>
        <v>120674.64940585353</v>
      </c>
    </row>
    <row r="6" spans="1:17" x14ac:dyDescent="0.2">
      <c r="A6" s="128" t="s">
        <v>64</v>
      </c>
      <c r="B6" s="129">
        <f>+'General Data'!$C$61*'General Data'!I30</f>
        <v>36113.303229355959</v>
      </c>
      <c r="C6" s="129">
        <f>B6*'General Data'!$B$33</f>
        <v>296129.08648071886</v>
      </c>
      <c r="D6" s="129">
        <f>B6*'General Data'!$B$34</f>
        <v>2531.0178331685374</v>
      </c>
      <c r="E6" s="129"/>
      <c r="F6" s="129">
        <f t="shared" ref="F6:F16" si="0">+B6*1.05</f>
        <v>37918.968390823757</v>
      </c>
      <c r="G6" s="15"/>
      <c r="H6" s="15"/>
      <c r="I6" s="15"/>
      <c r="J6" s="33" t="s">
        <v>64</v>
      </c>
      <c r="K6" s="44"/>
      <c r="L6" s="15"/>
      <c r="M6" s="15"/>
      <c r="N6" s="15"/>
      <c r="O6" s="15"/>
      <c r="P6" s="222"/>
      <c r="Q6" s="224"/>
    </row>
    <row r="7" spans="1:17" x14ac:dyDescent="0.2">
      <c r="A7" s="126" t="s">
        <v>65</v>
      </c>
      <c r="B7" s="127">
        <f>+'General Data'!$C$61*'General Data'!I31</f>
        <v>35251.637280972311</v>
      </c>
      <c r="C7" s="127">
        <f>B7*'General Data'!$B$33</f>
        <v>289063.42570397293</v>
      </c>
      <c r="D7" s="127">
        <f>B7*'General Data'!$B$34</f>
        <v>2470.6275701194268</v>
      </c>
      <c r="E7" s="127"/>
      <c r="F7" s="127">
        <f t="shared" si="0"/>
        <v>37014.219145020928</v>
      </c>
      <c r="G7" s="15"/>
      <c r="H7" s="15"/>
      <c r="I7" s="15"/>
      <c r="J7" s="33" t="s">
        <v>65</v>
      </c>
      <c r="K7" s="44"/>
      <c r="L7" s="15"/>
      <c r="M7" s="15"/>
      <c r="N7" s="15"/>
      <c r="O7" s="15"/>
      <c r="P7" s="222"/>
      <c r="Q7" s="224"/>
    </row>
    <row r="8" spans="1:17" x14ac:dyDescent="0.2">
      <c r="A8" s="128" t="s">
        <v>4</v>
      </c>
      <c r="B8" s="129">
        <f>+'General Data'!$C$61*'General Data'!I32</f>
        <v>29181.642340907951</v>
      </c>
      <c r="C8" s="129">
        <f>B8*'General Data'!$B$33</f>
        <v>239289.46719544518</v>
      </c>
      <c r="D8" s="129">
        <f>B8*'General Data'!$B$34</f>
        <v>2045.2091213285914</v>
      </c>
      <c r="E8" s="129"/>
      <c r="F8" s="129">
        <f t="shared" si="0"/>
        <v>30640.724457953351</v>
      </c>
      <c r="G8" s="15"/>
      <c r="H8" s="15"/>
      <c r="I8" s="15"/>
      <c r="J8" s="72" t="s">
        <v>92</v>
      </c>
      <c r="K8" s="44">
        <f>+SUM(K5:K7)</f>
        <v>0</v>
      </c>
      <c r="L8" s="15"/>
      <c r="M8" s="15"/>
      <c r="N8" s="15"/>
      <c r="O8" s="15"/>
      <c r="P8" s="222" t="s">
        <v>94</v>
      </c>
      <c r="Q8" s="224">
        <f>+F8+F9+F10</f>
        <v>80926.932539470843</v>
      </c>
    </row>
    <row r="9" spans="1:17" x14ac:dyDescent="0.2">
      <c r="A9" s="126" t="s">
        <v>66</v>
      </c>
      <c r="B9" s="127">
        <f>+'General Data'!$C$61*'General Data'!I33</f>
        <v>25579.978676580915</v>
      </c>
      <c r="C9" s="127">
        <f>B9*'General Data'!$B$33</f>
        <v>209755.82514796348</v>
      </c>
      <c r="D9" s="127">
        <f>B9*'General Data'!$B$34</f>
        <v>1792.7848303244743</v>
      </c>
      <c r="E9" s="127"/>
      <c r="F9" s="127">
        <f t="shared" si="0"/>
        <v>26858.977610409962</v>
      </c>
      <c r="G9" s="15"/>
      <c r="H9" s="15"/>
      <c r="I9" s="15"/>
      <c r="J9" s="15"/>
      <c r="K9" s="15"/>
      <c r="L9" s="15"/>
      <c r="M9" s="15"/>
      <c r="N9" s="15"/>
      <c r="O9" s="15"/>
      <c r="P9" s="222"/>
      <c r="Q9" s="224"/>
    </row>
    <row r="10" spans="1:17" x14ac:dyDescent="0.2">
      <c r="A10" s="128" t="s">
        <v>67</v>
      </c>
      <c r="B10" s="129">
        <f>+'General Data'!$C$61*'General Data'!I34</f>
        <v>22311.648067721449</v>
      </c>
      <c r="C10" s="129">
        <f>B10*'General Data'!$B$33</f>
        <v>182955.51415531588</v>
      </c>
      <c r="D10" s="129">
        <f>B10*'General Data'!$B$34</f>
        <v>1563.7223432078281</v>
      </c>
      <c r="E10" s="129"/>
      <c r="F10" s="129">
        <f t="shared" si="0"/>
        <v>23427.230471107523</v>
      </c>
      <c r="G10" s="15"/>
      <c r="H10" s="15"/>
      <c r="I10" s="15"/>
      <c r="J10" s="15"/>
      <c r="K10" s="15"/>
      <c r="L10" s="15"/>
      <c r="M10" s="15"/>
      <c r="N10" s="15"/>
      <c r="O10" s="15"/>
      <c r="P10" s="222"/>
      <c r="Q10" s="224"/>
    </row>
    <row r="11" spans="1:17" x14ac:dyDescent="0.2">
      <c r="A11" s="126" t="s">
        <v>68</v>
      </c>
      <c r="B11" s="127">
        <f>+'General Data'!$C$61*'General Data'!I35</f>
        <v>24124.979889464998</v>
      </c>
      <c r="C11" s="127">
        <f>B11*'General Data'!$B$33</f>
        <v>197824.83509361296</v>
      </c>
      <c r="D11" s="127">
        <f>B11*'General Data'!$B$34</f>
        <v>1690.8105563556664</v>
      </c>
      <c r="E11" s="127"/>
      <c r="F11" s="127">
        <f t="shared" si="0"/>
        <v>25331.228883938249</v>
      </c>
      <c r="G11" s="15"/>
      <c r="H11" s="15"/>
      <c r="I11" s="15"/>
      <c r="J11" s="15"/>
      <c r="K11" s="15"/>
      <c r="L11" s="15"/>
      <c r="M11" s="15"/>
      <c r="N11" s="15"/>
      <c r="O11" s="15"/>
      <c r="P11" s="223" t="s">
        <v>95</v>
      </c>
      <c r="Q11" s="224">
        <f>+F11+F12+F13</f>
        <v>88399.426310414943</v>
      </c>
    </row>
    <row r="12" spans="1:17" x14ac:dyDescent="0.2">
      <c r="A12" s="128" t="s">
        <v>69</v>
      </c>
      <c r="B12" s="129">
        <f>+'General Data'!$C$61*'General Data'!I36</f>
        <v>28103.309906470375</v>
      </c>
      <c r="C12" s="129">
        <f>B12*'General Data'!$B$33</f>
        <v>230447.14123305705</v>
      </c>
      <c r="D12" s="129">
        <f>B12*'General Data'!$B$34</f>
        <v>1969.6336857526246</v>
      </c>
      <c r="E12" s="129"/>
      <c r="F12" s="129">
        <f t="shared" si="0"/>
        <v>29508.475401793894</v>
      </c>
      <c r="G12" s="15"/>
      <c r="H12" s="15"/>
      <c r="I12" s="15"/>
      <c r="J12" s="15"/>
      <c r="K12" s="15"/>
      <c r="L12" s="15"/>
      <c r="M12" s="15"/>
      <c r="N12" s="15"/>
      <c r="O12" s="15"/>
      <c r="P12" s="222"/>
      <c r="Q12" s="224"/>
    </row>
    <row r="13" spans="1:17" x14ac:dyDescent="0.2">
      <c r="A13" s="126" t="s">
        <v>70</v>
      </c>
      <c r="B13" s="127">
        <f>+'General Data'!$C$61*'General Data'!I37</f>
        <v>31961.640023507432</v>
      </c>
      <c r="C13" s="127">
        <f>B13*'General Data'!$B$33</f>
        <v>262085.44819276093</v>
      </c>
      <c r="D13" s="127">
        <f>B13*'General Data'!$B$34</f>
        <v>2240.0465657500936</v>
      </c>
      <c r="E13" s="127"/>
      <c r="F13" s="127">
        <f t="shared" si="0"/>
        <v>33559.722024682807</v>
      </c>
      <c r="G13" s="15"/>
      <c r="H13" s="15"/>
      <c r="I13" s="15"/>
      <c r="J13" s="15"/>
      <c r="K13" s="15"/>
      <c r="L13" s="15"/>
      <c r="M13" s="15"/>
      <c r="N13" s="15"/>
      <c r="O13" s="15"/>
      <c r="P13" s="222"/>
      <c r="Q13" s="224"/>
    </row>
    <row r="14" spans="1:17" x14ac:dyDescent="0.2">
      <c r="A14" s="128" t="s">
        <v>71</v>
      </c>
      <c r="B14" s="129">
        <f>+'General Data'!$C$61*'General Data'!I38</f>
        <v>37943.301703872894</v>
      </c>
      <c r="C14" s="129">
        <f>B14*'General Data'!$B$33</f>
        <v>311135.07397175772</v>
      </c>
      <c r="D14" s="129">
        <f>B14*'General Data'!$B$34</f>
        <v>2659.2741365107499</v>
      </c>
      <c r="E14" s="129"/>
      <c r="F14" s="129">
        <f t="shared" si="0"/>
        <v>39840.466789066537</v>
      </c>
      <c r="G14" s="15"/>
      <c r="H14" s="15"/>
      <c r="I14" s="15"/>
      <c r="J14" s="15"/>
      <c r="K14" s="15"/>
      <c r="L14" s="15"/>
      <c r="M14" s="15"/>
      <c r="N14" s="15"/>
      <c r="O14" s="15"/>
      <c r="P14" s="222" t="s">
        <v>96</v>
      </c>
      <c r="Q14" s="224">
        <f>+F14+F15+F16</f>
        <v>129865.64174426065</v>
      </c>
    </row>
    <row r="15" spans="1:17" x14ac:dyDescent="0.2">
      <c r="A15" s="126" t="s">
        <v>72</v>
      </c>
      <c r="B15" s="127">
        <f>+'General Data'!$C$61*'General Data'!I39</f>
        <v>41056.632441939932</v>
      </c>
      <c r="C15" s="127">
        <f>B15*'General Data'!$B$33</f>
        <v>336664.3860239074</v>
      </c>
      <c r="D15" s="127">
        <f>B15*'General Data'!$B$34</f>
        <v>2877.4733848197216</v>
      </c>
      <c r="E15" s="127"/>
      <c r="F15" s="127">
        <f t="shared" si="0"/>
        <v>43109.464064036933</v>
      </c>
      <c r="G15" s="15"/>
      <c r="H15" s="15"/>
      <c r="I15" s="15"/>
      <c r="J15" s="15"/>
      <c r="K15" s="15"/>
      <c r="L15" s="15"/>
      <c r="M15" s="15"/>
      <c r="N15" s="15"/>
      <c r="O15" s="15"/>
      <c r="P15" s="222"/>
      <c r="Q15" s="224"/>
    </row>
    <row r="16" spans="1:17" x14ac:dyDescent="0.2">
      <c r="A16" s="128" t="s">
        <v>73</v>
      </c>
      <c r="B16" s="129">
        <f>+'General Data'!$C$61*'General Data'!I40</f>
        <v>44681.6294201497</v>
      </c>
      <c r="C16" s="129">
        <f>B16*'General Data'!$B$33</f>
        <v>366389.36124522751</v>
      </c>
      <c r="D16" s="129">
        <f>B16*'General Data'!$B$34</f>
        <v>3131.5330020959618</v>
      </c>
      <c r="E16" s="129"/>
      <c r="F16" s="129">
        <f t="shared" si="0"/>
        <v>46915.710891157185</v>
      </c>
      <c r="G16" s="15"/>
      <c r="H16" s="15"/>
      <c r="I16" s="15"/>
      <c r="J16" s="15"/>
      <c r="K16" s="15"/>
      <c r="L16" s="15"/>
      <c r="M16" s="15"/>
      <c r="N16" s="15"/>
      <c r="O16" s="15"/>
      <c r="P16" s="222"/>
      <c r="Q16" s="224"/>
    </row>
    <row r="17" spans="1:17" x14ac:dyDescent="0.2">
      <c r="A17" s="130"/>
      <c r="B17" s="131">
        <f>SUM(B5:B16)</f>
        <v>399873</v>
      </c>
      <c r="C17" s="131">
        <f>SUM(C5:C16)</f>
        <v>3278958.5999999996</v>
      </c>
      <c r="D17" s="131">
        <f>SUM(D5:D16)</f>
        <v>28025.287179487175</v>
      </c>
      <c r="E17" s="131"/>
      <c r="F17" s="131">
        <f>SUM(F5:F16)</f>
        <v>419866.65</v>
      </c>
      <c r="G17" s="15"/>
      <c r="H17" s="15"/>
      <c r="I17" s="15"/>
      <c r="J17" s="15"/>
      <c r="K17" s="15"/>
      <c r="L17" s="15"/>
      <c r="M17" s="15"/>
      <c r="N17" s="15"/>
      <c r="O17" s="15"/>
      <c r="P17" s="130"/>
      <c r="Q17" s="132">
        <f>+Q14+Q11+Q8+Q5</f>
        <v>419866.64999999997</v>
      </c>
    </row>
    <row r="18" spans="1:17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ht="30" x14ac:dyDescent="0.2">
      <c r="A19" s="8" t="s">
        <v>91</v>
      </c>
      <c r="B19" s="8"/>
      <c r="C19" s="8"/>
      <c r="D19" s="8"/>
      <c r="E19" s="8"/>
      <c r="F19" s="8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ht="16" thickBot="1" x14ac:dyDescent="0.25">
      <c r="A21" s="12" t="s">
        <v>85</v>
      </c>
      <c r="B21" s="12" t="s">
        <v>86</v>
      </c>
      <c r="C21" s="29"/>
      <c r="D21" s="29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x14ac:dyDescent="0.2">
      <c r="A22" s="81" t="s">
        <v>63</v>
      </c>
      <c r="B22" s="84">
        <f t="shared" ref="B22:B33" si="1">+B5</f>
        <v>43563.297019056037</v>
      </c>
      <c r="C22" s="54"/>
      <c r="D22" s="52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x14ac:dyDescent="0.2">
      <c r="A23" s="98" t="s">
        <v>64</v>
      </c>
      <c r="B23" s="101">
        <f t="shared" si="1"/>
        <v>36113.303229355959</v>
      </c>
      <c r="C23" s="54"/>
      <c r="D23" s="52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ht="16" thickBot="1" x14ac:dyDescent="0.25">
      <c r="A24" s="83" t="s">
        <v>65</v>
      </c>
      <c r="B24" s="86">
        <f t="shared" si="1"/>
        <v>35251.637280972311</v>
      </c>
      <c r="C24" s="54"/>
      <c r="D24" s="52"/>
      <c r="E24" s="15"/>
      <c r="F24" s="15"/>
      <c r="G24" s="15"/>
      <c r="H24" s="15"/>
      <c r="I24" s="15"/>
      <c r="J24" s="15"/>
      <c r="K24" s="16"/>
      <c r="L24" s="15"/>
      <c r="M24" s="15"/>
      <c r="N24" s="15"/>
      <c r="O24" s="15"/>
      <c r="P24" s="15"/>
      <c r="Q24" s="15"/>
    </row>
    <row r="25" spans="1:17" x14ac:dyDescent="0.2">
      <c r="A25" s="99" t="s">
        <v>4</v>
      </c>
      <c r="B25" s="102">
        <f t="shared" si="1"/>
        <v>29181.642340907951</v>
      </c>
      <c r="C25" s="54"/>
      <c r="D25" s="52"/>
      <c r="E25" s="15"/>
      <c r="F25" s="15"/>
      <c r="G25" s="15"/>
      <c r="H25" s="15"/>
      <c r="I25" s="15"/>
      <c r="J25" s="87"/>
      <c r="K25" s="88"/>
      <c r="L25" s="15"/>
      <c r="M25" s="15"/>
      <c r="N25" s="15"/>
      <c r="O25" s="15"/>
      <c r="P25" s="15"/>
      <c r="Q25" s="15"/>
    </row>
    <row r="26" spans="1:17" x14ac:dyDescent="0.2">
      <c r="A26" s="82" t="s">
        <v>66</v>
      </c>
      <c r="B26" s="85">
        <f t="shared" si="1"/>
        <v>25579.978676580915</v>
      </c>
      <c r="C26" s="54"/>
      <c r="D26" s="52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ht="16" thickBot="1" x14ac:dyDescent="0.25">
      <c r="A27" s="100" t="s">
        <v>67</v>
      </c>
      <c r="B27" s="103">
        <f t="shared" si="1"/>
        <v>22311.648067721449</v>
      </c>
      <c r="C27" s="54"/>
      <c r="D27" s="52"/>
      <c r="E27" s="15"/>
      <c r="F27" s="15"/>
      <c r="G27" s="15"/>
      <c r="H27" s="15"/>
      <c r="I27" s="15"/>
      <c r="J27" s="87"/>
      <c r="K27" s="88"/>
      <c r="L27" s="15"/>
      <c r="M27" s="15"/>
      <c r="N27" s="15"/>
      <c r="O27" s="15"/>
      <c r="P27" s="15"/>
      <c r="Q27" s="15"/>
    </row>
    <row r="28" spans="1:17" x14ac:dyDescent="0.2">
      <c r="A28" s="81" t="s">
        <v>68</v>
      </c>
      <c r="B28" s="84">
        <f t="shared" si="1"/>
        <v>24124.979889464998</v>
      </c>
      <c r="C28" s="54"/>
      <c r="D28" s="52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 x14ac:dyDescent="0.2">
      <c r="A29" s="98" t="s">
        <v>69</v>
      </c>
      <c r="B29" s="101">
        <f t="shared" si="1"/>
        <v>28103.309906470375</v>
      </c>
      <c r="C29" s="54"/>
      <c r="D29" s="52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ht="16" thickBot="1" x14ac:dyDescent="0.25">
      <c r="A30" s="83" t="s">
        <v>70</v>
      </c>
      <c r="B30" s="86">
        <f t="shared" si="1"/>
        <v>31961.640023507432</v>
      </c>
      <c r="C30" s="54"/>
      <c r="D30" s="52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x14ac:dyDescent="0.2">
      <c r="A31" s="99" t="s">
        <v>71</v>
      </c>
      <c r="B31" s="102">
        <f t="shared" si="1"/>
        <v>37943.301703872894</v>
      </c>
      <c r="C31" s="54"/>
      <c r="D31" s="52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2">
      <c r="A32" s="82" t="s">
        <v>72</v>
      </c>
      <c r="B32" s="85">
        <f t="shared" si="1"/>
        <v>41056.632441939932</v>
      </c>
      <c r="C32" s="54"/>
      <c r="D32" s="52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ht="16" thickBot="1" x14ac:dyDescent="0.25">
      <c r="A33" s="100" t="s">
        <v>73</v>
      </c>
      <c r="B33" s="103">
        <f t="shared" si="1"/>
        <v>44681.6294201497</v>
      </c>
      <c r="C33" s="54"/>
      <c r="D33" s="52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2">
      <c r="A34" s="15"/>
      <c r="B34" s="89">
        <f>SUM(B22:B33)</f>
        <v>399873</v>
      </c>
      <c r="C34" s="90"/>
      <c r="D34" s="9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</sheetData>
  <mergeCells count="11">
    <mergeCell ref="P11:P13"/>
    <mergeCell ref="P14:P16"/>
    <mergeCell ref="Q5:Q7"/>
    <mergeCell ref="Q8:Q10"/>
    <mergeCell ref="Q11:Q13"/>
    <mergeCell ref="Q14:Q16"/>
    <mergeCell ref="K1:M1"/>
    <mergeCell ref="A1:B1"/>
    <mergeCell ref="C1:J1"/>
    <mergeCell ref="P5:P7"/>
    <mergeCell ref="P8:P10"/>
  </mergeCells>
  <pageMargins left="0.7" right="0.7" top="0.75" bottom="0.75" header="0.3" footer="0.3"/>
  <pageSetup paperSize="9" orientation="portrait" horizontalDpi="0" verticalDpi="0" r:id="rId1"/>
  <ignoredErrors>
    <ignoredError sqref="P6:P7 P9:P10 P12:P13 P15:P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C8C8-F2FC-4B3D-A4EA-C094006E4A2F}">
  <dimension ref="A1:N67"/>
  <sheetViews>
    <sheetView topLeftCell="A22" zoomScale="75" zoomScaleNormal="70" workbookViewId="0">
      <selection activeCell="C14" sqref="C14"/>
    </sheetView>
  </sheetViews>
  <sheetFormatPr baseColWidth="10" defaultColWidth="8.83203125" defaultRowHeight="15" x14ac:dyDescent="0.2"/>
  <cols>
    <col min="1" max="1" width="9.6640625" style="2" bestFit="1" customWidth="1"/>
    <col min="2" max="2" width="18" style="2" bestFit="1" customWidth="1"/>
    <col min="3" max="8" width="25" style="2" customWidth="1"/>
    <col min="9" max="9" width="14" style="2" customWidth="1"/>
    <col min="10" max="10" width="9.6640625" style="2" bestFit="1" customWidth="1"/>
    <col min="11" max="11" width="9.1640625" style="2" bestFit="1" customWidth="1"/>
    <col min="12" max="12" width="14.1640625" style="2" customWidth="1"/>
    <col min="13" max="13" width="11.83203125" style="2" bestFit="1" customWidth="1"/>
    <col min="14" max="14" width="13.5" style="2" customWidth="1"/>
    <col min="15" max="16384" width="8.83203125" style="2"/>
  </cols>
  <sheetData>
    <row r="1" spans="1:14" ht="22" x14ac:dyDescent="0.2">
      <c r="A1" s="200" t="s">
        <v>5</v>
      </c>
      <c r="B1" s="201"/>
      <c r="C1" s="200" t="s">
        <v>6</v>
      </c>
      <c r="D1" s="202"/>
      <c r="E1" s="202"/>
      <c r="F1" s="202"/>
      <c r="G1" s="202"/>
      <c r="H1" s="202"/>
      <c r="I1" s="202" t="s">
        <v>7</v>
      </c>
      <c r="J1" s="202"/>
      <c r="K1" s="202"/>
      <c r="L1" s="13"/>
      <c r="M1" s="14"/>
    </row>
    <row r="2" spans="1:14" x14ac:dyDescent="0.2">
      <c r="A2" s="8"/>
      <c r="B2" s="8"/>
      <c r="C2" s="225" t="s">
        <v>97</v>
      </c>
      <c r="D2" s="226"/>
      <c r="E2" s="226"/>
      <c r="F2" s="226"/>
      <c r="G2" s="227"/>
      <c r="H2" s="12" t="s">
        <v>98</v>
      </c>
      <c r="I2" s="15"/>
      <c r="J2" s="15"/>
      <c r="K2" s="15"/>
      <c r="L2" s="15"/>
      <c r="M2" s="15"/>
    </row>
    <row r="3" spans="1:14" ht="30" x14ac:dyDescent="0.2">
      <c r="A3" s="120" t="s">
        <v>99</v>
      </c>
      <c r="B3" s="120" t="s">
        <v>85</v>
      </c>
      <c r="C3" s="120" t="s">
        <v>86</v>
      </c>
      <c r="D3" s="120" t="s">
        <v>87</v>
      </c>
      <c r="E3" s="120" t="s">
        <v>88</v>
      </c>
      <c r="F3" s="120" t="s">
        <v>100</v>
      </c>
      <c r="G3" s="120" t="s">
        <v>101</v>
      </c>
      <c r="H3" s="120" t="s">
        <v>40</v>
      </c>
      <c r="I3" s="15"/>
      <c r="J3" s="15"/>
      <c r="K3" s="15"/>
      <c r="L3" s="15"/>
      <c r="M3" s="15"/>
    </row>
    <row r="4" spans="1:14" x14ac:dyDescent="0.2">
      <c r="A4" s="126">
        <v>2026</v>
      </c>
      <c r="B4" s="126" t="s">
        <v>70</v>
      </c>
      <c r="C4" s="133">
        <v>34200</v>
      </c>
      <c r="D4" s="134">
        <f>C4*'General Data'!$B$33</f>
        <v>280440</v>
      </c>
      <c r="E4" s="134">
        <f>+D4/'General Data'!$B$37</f>
        <v>2396.9230769230771</v>
      </c>
      <c r="F4" s="134">
        <f>+C4-'General Data'!$B$60*4000*'General Data'!I37</f>
        <v>32675.505072439606</v>
      </c>
      <c r="G4" s="134">
        <f>+F4*'General Data'!$B$34</f>
        <v>2290.078133282092</v>
      </c>
      <c r="H4" s="134">
        <f>+Projection!B13</f>
        <v>31961.640023507432</v>
      </c>
      <c r="I4" s="15"/>
      <c r="J4" s="15"/>
      <c r="K4" s="87">
        <f t="shared" ref="K4:K16" si="0">+C4-H4</f>
        <v>2238.3599764925675</v>
      </c>
      <c r="L4" s="15"/>
      <c r="M4" s="15">
        <f>+C4*'General Data'!$B$34</f>
        <v>2396.9230769230771</v>
      </c>
    </row>
    <row r="5" spans="1:14" x14ac:dyDescent="0.2">
      <c r="A5" s="128">
        <v>2026</v>
      </c>
      <c r="B5" s="128" t="s">
        <v>71</v>
      </c>
      <c r="C5" s="133">
        <v>35500</v>
      </c>
      <c r="D5" s="135">
        <f>C5*'General Data'!$B$33</f>
        <v>291100</v>
      </c>
      <c r="E5" s="135">
        <f>+D5/'General Data'!$B$37</f>
        <v>2488.034188034188</v>
      </c>
      <c r="F5" s="135">
        <f>+C5-'General Data'!$B$60*4000*'General Data'!I38</f>
        <v>33690.193903069303</v>
      </c>
      <c r="G5" s="135">
        <f>+F5*'General Data'!$B$34</f>
        <v>2361.1930769672504</v>
      </c>
      <c r="H5" s="135">
        <f>+Projection!B14</f>
        <v>37943.301703872894</v>
      </c>
      <c r="I5" s="15"/>
      <c r="J5" s="15"/>
      <c r="K5" s="87">
        <f t="shared" si="0"/>
        <v>-2443.301703872894</v>
      </c>
      <c r="L5" s="15"/>
      <c r="M5" s="15">
        <f>+C5*'General Data'!$B$34</f>
        <v>2488.034188034188</v>
      </c>
    </row>
    <row r="6" spans="1:14" x14ac:dyDescent="0.2">
      <c r="A6" s="126">
        <v>2026</v>
      </c>
      <c r="B6" s="126" t="s">
        <v>72</v>
      </c>
      <c r="C6" s="133">
        <v>37100</v>
      </c>
      <c r="D6" s="134">
        <f>C6*'General Data'!$B$33</f>
        <v>304220</v>
      </c>
      <c r="E6" s="134">
        <f>+D6/'General Data'!$B$37</f>
        <v>2600.17094017094</v>
      </c>
      <c r="F6" s="134">
        <f>+C6-'General Data'!$B$60*4000*'General Data'!I39</f>
        <v>35141.695361864593</v>
      </c>
      <c r="G6" s="134">
        <f>+F6*'General Data'!$B$34</f>
        <v>2462.922239036664</v>
      </c>
      <c r="H6" s="134">
        <f>+Projection!B15</f>
        <v>41056.632441939932</v>
      </c>
      <c r="I6" s="15"/>
      <c r="J6" s="87"/>
      <c r="K6" s="87">
        <f t="shared" si="0"/>
        <v>-3956.6324419399316</v>
      </c>
      <c r="L6" s="15"/>
      <c r="M6" s="15">
        <f>+C6*'General Data'!$B$34</f>
        <v>2600.1709401709404</v>
      </c>
    </row>
    <row r="7" spans="1:14" x14ac:dyDescent="0.2">
      <c r="A7" s="128">
        <v>2026</v>
      </c>
      <c r="B7" s="128" t="s">
        <v>73</v>
      </c>
      <c r="C7" s="133">
        <v>38000</v>
      </c>
      <c r="D7" s="135">
        <f>C7*'General Data'!$B$33</f>
        <v>311600</v>
      </c>
      <c r="E7" s="135">
        <f>+D7/'General Data'!$B$37</f>
        <v>2663.2478632478633</v>
      </c>
      <c r="F7" s="135">
        <f>+C7-'General Data'!$B$60*4000*'General Data'!I40</f>
        <v>35868.791546489723</v>
      </c>
      <c r="G7" s="135">
        <f>+F7*'General Data'!$B$34</f>
        <v>2513.8811169334676</v>
      </c>
      <c r="H7" s="135">
        <f>+Projection!B16</f>
        <v>44681.6294201497</v>
      </c>
      <c r="I7" s="15"/>
      <c r="J7" s="87"/>
      <c r="K7" s="87">
        <f t="shared" si="0"/>
        <v>-6681.6294201497003</v>
      </c>
      <c r="L7" s="15"/>
      <c r="M7" s="15">
        <f>+C7*'General Data'!$B$34</f>
        <v>2663.2478632478633</v>
      </c>
    </row>
    <row r="8" spans="1:14" x14ac:dyDescent="0.2">
      <c r="A8" s="126">
        <v>2027</v>
      </c>
      <c r="B8" s="126" t="s">
        <v>63</v>
      </c>
      <c r="C8" s="136">
        <v>38100</v>
      </c>
      <c r="D8" s="137">
        <f>C8*'General Data'!$B$33</f>
        <v>312420</v>
      </c>
      <c r="E8" s="137">
        <f>+D8/'General Data'!$B$37</f>
        <v>2670.2564102564102</v>
      </c>
      <c r="F8" s="134">
        <f>+C8-'General Data'!$B$60*4000*'General Data'!I29</f>
        <v>36022.133367232957</v>
      </c>
      <c r="G8" s="137">
        <f>+F8*'General Data'!$B$34</f>
        <v>2524.628150524019</v>
      </c>
      <c r="H8" s="134">
        <f>+Projection!B5</f>
        <v>43563.297019056037</v>
      </c>
      <c r="I8" s="15"/>
      <c r="J8" s="87"/>
      <c r="K8" s="87">
        <f t="shared" si="0"/>
        <v>-5463.2970190560372</v>
      </c>
      <c r="L8" s="15"/>
      <c r="M8" s="15">
        <f>+C8*'General Data'!$B$34</f>
        <v>2670.2564102564102</v>
      </c>
    </row>
    <row r="9" spans="1:14" x14ac:dyDescent="0.2">
      <c r="A9" s="128">
        <v>2027</v>
      </c>
      <c r="B9" s="128" t="s">
        <v>64</v>
      </c>
      <c r="C9" s="136">
        <v>29800</v>
      </c>
      <c r="D9" s="138">
        <f>C9*'General Data'!$B$33</f>
        <v>244359.99999999997</v>
      </c>
      <c r="E9" s="138">
        <f>+D9/'General Data'!$B$37</f>
        <v>2088.5470085470083</v>
      </c>
      <c r="F9" s="135">
        <f>+C9-'General Data'!$B$60*4000*'General Data'!I30</f>
        <v>28077.480518830962</v>
      </c>
      <c r="G9" s="138">
        <f>+F9*'General Data'!$B$34</f>
        <v>1967.8234209778966</v>
      </c>
      <c r="H9" s="135">
        <f>+Projection!B6</f>
        <v>36113.303229355959</v>
      </c>
      <c r="I9" s="15"/>
      <c r="J9" s="87"/>
      <c r="K9" s="87">
        <f t="shared" si="0"/>
        <v>-6313.303229355959</v>
      </c>
      <c r="L9" s="15"/>
      <c r="M9" s="15">
        <f>+C9*'General Data'!$B$34</f>
        <v>2088.5470085470088</v>
      </c>
    </row>
    <row r="10" spans="1:14" x14ac:dyDescent="0.2">
      <c r="A10" s="126">
        <v>2027</v>
      </c>
      <c r="B10" s="126" t="s">
        <v>65</v>
      </c>
      <c r="C10" s="136">
        <v>28750</v>
      </c>
      <c r="D10" s="139">
        <f>C10*'General Data'!$B$33</f>
        <v>235749.99999999997</v>
      </c>
      <c r="E10" s="139">
        <f>+D10/'General Data'!$B$37</f>
        <v>2014.9572649572647</v>
      </c>
      <c r="F10" s="134">
        <f>+C10-'General Data'!$B$60*4000*'General Data'!I31</f>
        <v>27068.579954485587</v>
      </c>
      <c r="G10" s="139">
        <f>+F10*'General Data'!$B$34</f>
        <v>1897.1141506562549</v>
      </c>
      <c r="H10" s="134">
        <f>+Projection!B7</f>
        <v>35251.637280972311</v>
      </c>
      <c r="I10" s="15"/>
      <c r="J10" s="15"/>
      <c r="K10" s="87">
        <f t="shared" si="0"/>
        <v>-6501.6372809723107</v>
      </c>
      <c r="L10" s="15"/>
      <c r="M10" s="15">
        <f>+C10*'General Data'!$B$34</f>
        <v>2014.9572649572649</v>
      </c>
    </row>
    <row r="11" spans="1:14" x14ac:dyDescent="0.2">
      <c r="A11" s="128">
        <v>2027</v>
      </c>
      <c r="B11" s="128" t="s">
        <v>4</v>
      </c>
      <c r="C11" s="136">
        <v>28500</v>
      </c>
      <c r="D11" s="138">
        <f>C11*'General Data'!$B$33</f>
        <v>233699.99999999997</v>
      </c>
      <c r="E11" s="138">
        <f>+D11/'General Data'!$B$37</f>
        <v>1997.4358974358972</v>
      </c>
      <c r="F11" s="135">
        <f>+C11-'General Data'!$B$60*4000*'General Data'!I32</f>
        <v>27108.104412230539</v>
      </c>
      <c r="G11" s="138">
        <f>+F11*'General Data'!$B$34</f>
        <v>1899.8842408571832</v>
      </c>
      <c r="H11" s="135">
        <f>+Projection!B8</f>
        <v>29181.642340907951</v>
      </c>
      <c r="I11" s="15"/>
      <c r="J11" s="15"/>
      <c r="K11" s="87">
        <f t="shared" si="0"/>
        <v>-681.64234090795071</v>
      </c>
      <c r="L11" s="15"/>
      <c r="M11" s="15">
        <f>+C11*'General Data'!$B$34</f>
        <v>1997.4358974358975</v>
      </c>
    </row>
    <row r="12" spans="1:14" x14ac:dyDescent="0.2">
      <c r="A12" s="126">
        <v>2027</v>
      </c>
      <c r="B12" s="126" t="s">
        <v>66</v>
      </c>
      <c r="C12" s="136">
        <v>24100</v>
      </c>
      <c r="D12" s="137">
        <f>C12*'General Data'!$B$33</f>
        <v>197619.99999999997</v>
      </c>
      <c r="E12" s="137">
        <f>+D12/'General Data'!$B$37</f>
        <v>1689.0598290598289</v>
      </c>
      <c r="F12" s="134">
        <f>+C12-'General Data'!$B$60*4000*'General Data'!I33</f>
        <v>22879.895283506445</v>
      </c>
      <c r="G12" s="137">
        <f>+F12*'General Data'!$B$34</f>
        <v>1603.548216450879</v>
      </c>
      <c r="H12" s="134">
        <f>+Projection!B9</f>
        <v>25579.978676580915</v>
      </c>
      <c r="I12" s="15"/>
      <c r="J12" s="15"/>
      <c r="K12" s="87">
        <f t="shared" si="0"/>
        <v>-1479.9786765809149</v>
      </c>
      <c r="L12" s="15"/>
      <c r="M12" s="15">
        <f>+C12*'General Data'!$B$34</f>
        <v>1689.0598290598291</v>
      </c>
    </row>
    <row r="13" spans="1:14" x14ac:dyDescent="0.2">
      <c r="A13" s="128">
        <v>2027</v>
      </c>
      <c r="B13" s="128" t="s">
        <v>67</v>
      </c>
      <c r="C13" s="136">
        <v>23500</v>
      </c>
      <c r="D13" s="138">
        <f>C13*'General Data'!$B$33</f>
        <v>192699.99999999997</v>
      </c>
      <c r="E13" s="138">
        <f>+D13/'General Data'!$B$37</f>
        <v>1647.0085470085467</v>
      </c>
      <c r="F13" s="135">
        <f>+C13-'General Data'!$B$60*4000*'General Data'!I34</f>
        <v>22435.786953368566</v>
      </c>
      <c r="G13" s="138">
        <f>+F13*'General Data'!$B$34</f>
        <v>1572.4226753642927</v>
      </c>
      <c r="H13" s="135">
        <f>+Projection!B10</f>
        <v>22311.648067721449</v>
      </c>
      <c r="I13" s="15"/>
      <c r="J13" s="15"/>
      <c r="K13" s="87">
        <f t="shared" si="0"/>
        <v>1188.3519322785505</v>
      </c>
      <c r="L13" s="15"/>
      <c r="M13" s="15">
        <f>+C13*'General Data'!$B$34</f>
        <v>1647.0085470085471</v>
      </c>
    </row>
    <row r="14" spans="1:14" x14ac:dyDescent="0.2">
      <c r="A14" s="126">
        <v>2027</v>
      </c>
      <c r="B14" s="126" t="s">
        <v>68</v>
      </c>
      <c r="C14" s="136">
        <v>24450</v>
      </c>
      <c r="D14" s="137">
        <f>C14*'General Data'!$B$33</f>
        <v>200489.99999999997</v>
      </c>
      <c r="E14" s="137">
        <f>+D14/'General Data'!$B$37</f>
        <v>1713.5897435897434</v>
      </c>
      <c r="F14" s="134">
        <f>+C14-'General Data'!$B$60*4000*'General Data'!I35</f>
        <v>23299.2952976776</v>
      </c>
      <c r="G14" s="137">
        <f>+F14*'General Data'!$B$34</f>
        <v>1632.9420635979172</v>
      </c>
      <c r="H14" s="134">
        <f>+Projection!B11</f>
        <v>24124.979889464998</v>
      </c>
      <c r="I14" s="15"/>
      <c r="J14" s="15"/>
      <c r="K14" s="87">
        <f t="shared" si="0"/>
        <v>325.02011053500246</v>
      </c>
      <c r="L14" s="15"/>
      <c r="M14" s="15">
        <f>+C14*'General Data'!$B$34</f>
        <v>1713.5897435897436</v>
      </c>
    </row>
    <row r="15" spans="1:14" x14ac:dyDescent="0.2">
      <c r="A15" s="128">
        <v>2027</v>
      </c>
      <c r="B15" s="128" t="s">
        <v>69</v>
      </c>
      <c r="C15" s="136">
        <v>25300</v>
      </c>
      <c r="D15" s="138">
        <f>C15*'General Data'!$B$33</f>
        <v>207459.99999999997</v>
      </c>
      <c r="E15" s="138">
        <f>+D15/'General Data'!$B$37</f>
        <v>1773.1623931623928</v>
      </c>
      <c r="F15" s="135">
        <f>+C15-'General Data'!$B$60*4000*'General Data'!I36</f>
        <v>23959.538328804123</v>
      </c>
      <c r="G15" s="138">
        <f>+F15*'General Data'!$B$34</f>
        <v>1679.2155068050754</v>
      </c>
      <c r="H15" s="135">
        <f>+Projection!B12</f>
        <v>28103.309906470375</v>
      </c>
      <c r="I15" s="15"/>
      <c r="J15" s="15"/>
      <c r="K15" s="87">
        <f t="shared" si="0"/>
        <v>-2803.3099064703747</v>
      </c>
      <c r="L15" s="15"/>
      <c r="M15" s="15">
        <f>+C15*'General Data'!$B$34</f>
        <v>1773.1623931623931</v>
      </c>
      <c r="N15" s="3"/>
    </row>
    <row r="16" spans="1:14" x14ac:dyDescent="0.2">
      <c r="A16" s="130"/>
      <c r="B16" s="140" t="s">
        <v>0</v>
      </c>
      <c r="C16" s="141">
        <f t="shared" ref="C16:H16" si="1">SUM(C4:C15)</f>
        <v>367300</v>
      </c>
      <c r="D16" s="141">
        <f t="shared" si="1"/>
        <v>3011860</v>
      </c>
      <c r="E16" s="141">
        <f t="shared" si="1"/>
        <v>25742.39316239316</v>
      </c>
      <c r="F16" s="141">
        <f>SUM(F4:F15)</f>
        <v>348227.00000000006</v>
      </c>
      <c r="G16" s="141">
        <f t="shared" si="1"/>
        <v>24405.652991452993</v>
      </c>
      <c r="H16" s="141">
        <f t="shared" si="1"/>
        <v>399872.99999999994</v>
      </c>
      <c r="I16" s="111"/>
      <c r="J16" s="111"/>
      <c r="K16" s="113">
        <f t="shared" si="0"/>
        <v>-32572.999999999942</v>
      </c>
      <c r="L16" s="111"/>
      <c r="M16" s="111">
        <f>SUM(M4:M15)</f>
        <v>25742.393162393164</v>
      </c>
    </row>
    <row r="17" spans="1:13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34">
        <f>+K16/H16</f>
        <v>-8.1458363030261979E-2</v>
      </c>
      <c r="L18" s="15"/>
      <c r="M18" s="15"/>
    </row>
    <row r="19" spans="1:13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ht="30" x14ac:dyDescent="0.2">
      <c r="A20" s="10" t="s">
        <v>85</v>
      </c>
      <c r="B20" s="10" t="s">
        <v>102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2">
      <c r="A21" s="92" t="s">
        <v>70</v>
      </c>
      <c r="B21" s="110">
        <v>30200</v>
      </c>
      <c r="C21" s="15"/>
      <c r="D21" s="15"/>
      <c r="E21" s="15"/>
      <c r="F21" s="15"/>
      <c r="G21" s="15"/>
      <c r="H21" s="87"/>
      <c r="I21" s="87"/>
      <c r="J21" s="15"/>
      <c r="K21" s="15"/>
      <c r="L21" s="15"/>
      <c r="M21" s="15"/>
    </row>
    <row r="22" spans="1:13" x14ac:dyDescent="0.2">
      <c r="A22" s="92" t="s">
        <v>71</v>
      </c>
      <c r="B22" s="110">
        <v>31850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2">
      <c r="A23" s="33" t="s">
        <v>72</v>
      </c>
      <c r="B23" s="110">
        <v>34200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x14ac:dyDescent="0.2">
      <c r="A24" s="112" t="s">
        <v>92</v>
      </c>
      <c r="B24" s="114">
        <f>SUM(B21:B23)</f>
        <v>96250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2">
      <c r="A27" s="8"/>
      <c r="B27" s="10" t="s">
        <v>109</v>
      </c>
      <c r="C27" s="10" t="s">
        <v>110</v>
      </c>
      <c r="D27" s="10" t="s">
        <v>111</v>
      </c>
      <c r="E27" s="10" t="s">
        <v>103</v>
      </c>
      <c r="F27" s="93"/>
      <c r="G27" s="15"/>
      <c r="H27" s="15"/>
      <c r="I27" s="15"/>
      <c r="J27" s="93"/>
      <c r="K27" s="93"/>
      <c r="L27" s="93"/>
      <c r="M27" s="93"/>
    </row>
    <row r="28" spans="1:13" x14ac:dyDescent="0.2">
      <c r="A28" s="115" t="s">
        <v>97</v>
      </c>
      <c r="B28" s="116">
        <f>+C4</f>
        <v>34200</v>
      </c>
      <c r="C28" s="116">
        <f>+C5</f>
        <v>35500</v>
      </c>
      <c r="D28" s="116">
        <f>+C6</f>
        <v>37100</v>
      </c>
      <c r="E28" s="116">
        <f>SUM(B28:D28)</f>
        <v>106800</v>
      </c>
      <c r="F28" s="87"/>
      <c r="G28" s="15"/>
      <c r="H28" s="15"/>
      <c r="I28" s="94"/>
      <c r="J28" s="87"/>
      <c r="K28" s="87"/>
      <c r="L28" s="87"/>
      <c r="M28" s="87"/>
    </row>
    <row r="29" spans="1:13" x14ac:dyDescent="0.2">
      <c r="A29" s="115" t="s">
        <v>98</v>
      </c>
      <c r="B29" s="116">
        <f>+H4</f>
        <v>31961.640023507432</v>
      </c>
      <c r="C29" s="116">
        <f>+H5</f>
        <v>37943.301703872894</v>
      </c>
      <c r="D29" s="116">
        <f>+H6</f>
        <v>41056.632441939932</v>
      </c>
      <c r="E29" s="116">
        <f>SUM(B29:D29)</f>
        <v>110961.57416932026</v>
      </c>
      <c r="F29" s="87"/>
      <c r="G29" s="15"/>
      <c r="H29" s="15"/>
      <c r="I29" s="94"/>
      <c r="J29" s="87"/>
      <c r="K29" s="87"/>
      <c r="L29" s="87"/>
      <c r="M29" s="87"/>
    </row>
    <row r="30" spans="1:13" x14ac:dyDescent="0.2">
      <c r="A30" s="115" t="s">
        <v>104</v>
      </c>
      <c r="B30" s="116">
        <f>+B28-B29</f>
        <v>2238.3599764925675</v>
      </c>
      <c r="C30" s="116">
        <f>+C28-C29</f>
        <v>-2443.301703872894</v>
      </c>
      <c r="D30" s="116">
        <f>+D28-D29</f>
        <v>-3956.6324419399316</v>
      </c>
      <c r="E30" s="116">
        <f>SUM(B30:D30)</f>
        <v>-4161.5741693202581</v>
      </c>
      <c r="F30" s="87"/>
      <c r="G30" s="15"/>
      <c r="H30" s="15"/>
      <c r="I30" s="15"/>
      <c r="J30" s="87"/>
      <c r="K30" s="87"/>
      <c r="L30" s="87"/>
      <c r="M30" s="87"/>
    </row>
    <row r="31" spans="1:13" x14ac:dyDescent="0.2">
      <c r="A31" s="115"/>
      <c r="B31" s="117">
        <f>+B30/B29</f>
        <v>7.0032700914167065E-2</v>
      </c>
      <c r="C31" s="117">
        <f>+C30/C29</f>
        <v>-6.4393492241174813E-2</v>
      </c>
      <c r="D31" s="118">
        <f>+D30/D29</f>
        <v>-9.6370116266481107E-2</v>
      </c>
      <c r="E31" s="117">
        <f>+E30/E29</f>
        <v>-3.750464248975021E-2</v>
      </c>
      <c r="F31" s="95"/>
      <c r="G31" s="15"/>
      <c r="H31" s="15"/>
      <c r="I31" s="15"/>
      <c r="J31" s="95"/>
      <c r="K31" s="95"/>
      <c r="L31" s="95"/>
      <c r="M31" s="95"/>
    </row>
    <row r="32" spans="1:13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x14ac:dyDescent="0.2">
      <c r="A34" s="8"/>
      <c r="B34" s="10" t="s">
        <v>109</v>
      </c>
      <c r="C34" s="10" t="s">
        <v>110</v>
      </c>
      <c r="D34" s="10" t="s">
        <v>111</v>
      </c>
      <c r="E34" s="10" t="s">
        <v>103</v>
      </c>
      <c r="F34" s="15"/>
      <c r="G34" s="15"/>
      <c r="H34" s="15"/>
      <c r="I34" s="15"/>
      <c r="J34" s="15"/>
      <c r="K34" s="15"/>
      <c r="L34" s="15"/>
      <c r="M34" s="15"/>
    </row>
    <row r="35" spans="1:13" x14ac:dyDescent="0.2">
      <c r="A35" s="115" t="s">
        <v>97</v>
      </c>
      <c r="B35" s="116">
        <f>+C7</f>
        <v>38000</v>
      </c>
      <c r="C35" s="116">
        <f>+C8</f>
        <v>38100</v>
      </c>
      <c r="D35" s="116">
        <f>+C9</f>
        <v>29800</v>
      </c>
      <c r="E35" s="116">
        <f>SUM(B35:D35)</f>
        <v>105900</v>
      </c>
      <c r="F35" s="15"/>
      <c r="G35" s="15"/>
      <c r="H35" s="15"/>
      <c r="I35" s="15"/>
      <c r="J35" s="15"/>
      <c r="K35" s="15"/>
      <c r="L35" s="15"/>
      <c r="M35" s="15"/>
    </row>
    <row r="36" spans="1:13" x14ac:dyDescent="0.2">
      <c r="A36" s="115" t="s">
        <v>98</v>
      </c>
      <c r="B36" s="116">
        <f>+H7</f>
        <v>44681.6294201497</v>
      </c>
      <c r="C36" s="116">
        <f>+H8</f>
        <v>43563.297019056037</v>
      </c>
      <c r="D36" s="116">
        <f>+H9</f>
        <v>36113.303229355959</v>
      </c>
      <c r="E36" s="116">
        <f>SUM(B36:D36)</f>
        <v>124358.22966856169</v>
      </c>
      <c r="F36" s="15"/>
      <c r="G36" s="15"/>
      <c r="H36" s="15"/>
      <c r="I36" s="15"/>
      <c r="J36" s="15"/>
      <c r="K36" s="15"/>
      <c r="L36" s="15"/>
      <c r="M36" s="15"/>
    </row>
    <row r="37" spans="1:13" x14ac:dyDescent="0.2">
      <c r="A37" s="115" t="s">
        <v>104</v>
      </c>
      <c r="B37" s="116">
        <f>+B35-B36</f>
        <v>-6681.6294201497003</v>
      </c>
      <c r="C37" s="116">
        <f>+C35-C36</f>
        <v>-5463.2970190560372</v>
      </c>
      <c r="D37" s="116">
        <f>+D35-D36</f>
        <v>-6313.303229355959</v>
      </c>
      <c r="E37" s="116">
        <f>SUM(B37:D37)</f>
        <v>-18458.229668561697</v>
      </c>
      <c r="F37" s="15"/>
      <c r="G37" s="15"/>
      <c r="H37" s="15"/>
      <c r="I37" s="15"/>
      <c r="J37" s="15"/>
      <c r="K37" s="15"/>
      <c r="L37" s="15"/>
      <c r="M37" s="15"/>
    </row>
    <row r="38" spans="1:13" x14ac:dyDescent="0.2">
      <c r="A38" s="115"/>
      <c r="B38" s="118">
        <f>+B37/B36</f>
        <v>-0.1495386248635002</v>
      </c>
      <c r="C38" s="118">
        <f>+C37/C36</f>
        <v>-0.12541054954279995</v>
      </c>
      <c r="D38" s="118">
        <f>+D37/D36</f>
        <v>-0.1748193232078524</v>
      </c>
      <c r="E38" s="117">
        <f>+E37/E36</f>
        <v>-0.14842789027920697</v>
      </c>
      <c r="F38" s="15"/>
      <c r="G38" s="15"/>
      <c r="H38" s="15"/>
      <c r="I38" s="15"/>
      <c r="J38" s="15"/>
      <c r="K38" s="15"/>
      <c r="L38" s="15"/>
      <c r="M38" s="15"/>
    </row>
    <row r="39" spans="1:13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x14ac:dyDescent="0.2">
      <c r="A41" s="8"/>
      <c r="B41" s="10" t="s">
        <v>109</v>
      </c>
      <c r="C41" s="10" t="s">
        <v>110</v>
      </c>
      <c r="D41" s="10" t="s">
        <v>111</v>
      </c>
      <c r="E41" s="10" t="s">
        <v>103</v>
      </c>
      <c r="F41" s="15"/>
      <c r="G41" s="15"/>
      <c r="H41" s="15"/>
      <c r="I41" s="15"/>
      <c r="J41" s="15"/>
      <c r="K41" s="15"/>
      <c r="L41" s="15"/>
      <c r="M41" s="15"/>
    </row>
    <row r="42" spans="1:13" x14ac:dyDescent="0.2">
      <c r="A42" s="115" t="s">
        <v>97</v>
      </c>
      <c r="B42" s="116">
        <f>+C10</f>
        <v>28750</v>
      </c>
      <c r="C42" s="116">
        <f>+C11</f>
        <v>28500</v>
      </c>
      <c r="D42" s="116">
        <f>+C12</f>
        <v>24100</v>
      </c>
      <c r="E42" s="116">
        <f>SUM(B42:D42)</f>
        <v>81350</v>
      </c>
      <c r="F42" s="15"/>
      <c r="G42" s="15"/>
      <c r="H42" s="15"/>
      <c r="I42" s="15"/>
      <c r="J42" s="15"/>
      <c r="K42" s="15"/>
      <c r="L42" s="15"/>
      <c r="M42" s="15"/>
    </row>
    <row r="43" spans="1:13" x14ac:dyDescent="0.2">
      <c r="A43" s="115" t="s">
        <v>98</v>
      </c>
      <c r="B43" s="116">
        <f>+H10</f>
        <v>35251.637280972311</v>
      </c>
      <c r="C43" s="116">
        <f>+H11</f>
        <v>29181.642340907951</v>
      </c>
      <c r="D43" s="116">
        <f>+H12</f>
        <v>25579.978676580915</v>
      </c>
      <c r="E43" s="116">
        <f>SUM(B43:D43)</f>
        <v>90013.25829846118</v>
      </c>
      <c r="F43" s="15"/>
      <c r="G43" s="15"/>
      <c r="H43" s="15"/>
      <c r="I43" s="15"/>
      <c r="J43" s="15"/>
      <c r="K43" s="15"/>
      <c r="L43" s="15"/>
      <c r="M43" s="15"/>
    </row>
    <row r="44" spans="1:13" x14ac:dyDescent="0.2">
      <c r="A44" s="115" t="s">
        <v>104</v>
      </c>
      <c r="B44" s="116">
        <f>+B42-B43</f>
        <v>-6501.6372809723107</v>
      </c>
      <c r="C44" s="116">
        <f>+C42-C43</f>
        <v>-681.64234090795071</v>
      </c>
      <c r="D44" s="116">
        <f>+D42-D43</f>
        <v>-1479.9786765809149</v>
      </c>
      <c r="E44" s="116">
        <f>SUM(B44:D44)</f>
        <v>-8663.2582984611763</v>
      </c>
      <c r="F44" s="15"/>
      <c r="G44" s="15"/>
      <c r="H44" s="15"/>
      <c r="I44" s="15"/>
      <c r="J44" s="15"/>
      <c r="K44" s="15"/>
      <c r="L44" s="15"/>
      <c r="M44" s="15"/>
    </row>
    <row r="45" spans="1:13" x14ac:dyDescent="0.2">
      <c r="A45" s="115"/>
      <c r="B45" s="118">
        <f>+B44/B43</f>
        <v>-0.18443504422648996</v>
      </c>
      <c r="C45" s="118">
        <f>+C44/C43</f>
        <v>-2.3358601032279745E-2</v>
      </c>
      <c r="D45" s="118">
        <f>+D44/D43</f>
        <v>-5.7856915961226774E-2</v>
      </c>
      <c r="E45" s="117">
        <f>+E44/E43</f>
        <v>-9.6244247372270483E-2</v>
      </c>
      <c r="F45" s="15"/>
      <c r="G45" s="15"/>
      <c r="H45" s="15"/>
      <c r="I45" s="15"/>
      <c r="J45" s="15"/>
      <c r="K45" s="15"/>
      <c r="L45" s="15"/>
      <c r="M45" s="15"/>
    </row>
    <row r="46" spans="1:13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x14ac:dyDescent="0.2">
      <c r="A48" s="8"/>
      <c r="B48" s="10" t="s">
        <v>109</v>
      </c>
      <c r="C48" s="10" t="s">
        <v>110</v>
      </c>
      <c r="D48" s="10" t="s">
        <v>111</v>
      </c>
      <c r="E48" s="10" t="s">
        <v>103</v>
      </c>
      <c r="F48" s="15"/>
      <c r="G48" s="15"/>
      <c r="H48" s="15"/>
      <c r="I48" s="15"/>
      <c r="J48" s="15"/>
      <c r="K48" s="15"/>
      <c r="L48" s="15"/>
      <c r="M48" s="15"/>
    </row>
    <row r="49" spans="1:13" x14ac:dyDescent="0.2">
      <c r="A49" s="115" t="s">
        <v>97</v>
      </c>
      <c r="B49" s="116">
        <f>+C13</f>
        <v>23500</v>
      </c>
      <c r="C49" s="116">
        <f>+C14</f>
        <v>24450</v>
      </c>
      <c r="D49" s="116">
        <f>+C15</f>
        <v>25300</v>
      </c>
      <c r="E49" s="116">
        <f>SUM(B49:D49)</f>
        <v>73250</v>
      </c>
      <c r="F49" s="15"/>
      <c r="G49" s="15"/>
      <c r="H49" s="15"/>
      <c r="I49" s="15"/>
      <c r="J49" s="15"/>
      <c r="K49" s="15"/>
      <c r="L49" s="15"/>
      <c r="M49" s="15"/>
    </row>
    <row r="50" spans="1:13" x14ac:dyDescent="0.2">
      <c r="A50" s="115" t="s">
        <v>98</v>
      </c>
      <c r="B50" s="116">
        <f>+H13</f>
        <v>22311.648067721449</v>
      </c>
      <c r="C50" s="116">
        <f>+H14</f>
        <v>24124.979889464998</v>
      </c>
      <c r="D50" s="116">
        <f>+H15</f>
        <v>28103.309906470375</v>
      </c>
      <c r="E50" s="116">
        <f>SUM(B50:D50)</f>
        <v>74539.937863656814</v>
      </c>
      <c r="F50" s="15"/>
      <c r="G50" s="15"/>
      <c r="H50" s="15"/>
      <c r="I50" s="15"/>
      <c r="J50" s="15"/>
      <c r="K50" s="15"/>
      <c r="L50" s="15"/>
      <c r="M50" s="15"/>
    </row>
    <row r="51" spans="1:13" x14ac:dyDescent="0.2">
      <c r="A51" s="115" t="s">
        <v>104</v>
      </c>
      <c r="B51" s="116">
        <f>+B49-B50</f>
        <v>1188.3519322785505</v>
      </c>
      <c r="C51" s="116">
        <f>+C49-C50</f>
        <v>325.02011053500246</v>
      </c>
      <c r="D51" s="116">
        <f>+D49-D50</f>
        <v>-2803.3099064703747</v>
      </c>
      <c r="E51" s="116">
        <f>SUM(B51:D51)</f>
        <v>-1289.9378636568217</v>
      </c>
      <c r="F51" s="15"/>
      <c r="G51" s="15"/>
      <c r="H51" s="15"/>
      <c r="I51" s="15"/>
      <c r="J51" s="15"/>
      <c r="K51" s="15"/>
      <c r="L51" s="15"/>
      <c r="M51" s="15"/>
    </row>
    <row r="52" spans="1:13" x14ac:dyDescent="0.2">
      <c r="A52" s="115"/>
      <c r="B52" s="118">
        <f>+B51/B50</f>
        <v>5.3261503976380603E-2</v>
      </c>
      <c r="C52" s="118">
        <f>+C51/C50</f>
        <v>1.3472347418491888E-2</v>
      </c>
      <c r="D52" s="118">
        <f>+D51/D50</f>
        <v>-9.9750168780829401E-2</v>
      </c>
      <c r="E52" s="117">
        <f>+E51/E50</f>
        <v>-1.7305325180392354E-2</v>
      </c>
      <c r="F52" s="15"/>
      <c r="G52" s="15"/>
      <c r="H52" s="15"/>
      <c r="I52" s="15"/>
      <c r="J52" s="15"/>
      <c r="K52" s="15"/>
      <c r="L52" s="15"/>
      <c r="M52" s="15"/>
    </row>
    <row r="53" spans="1:13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x14ac:dyDescent="0.2">
      <c r="A55" s="10" t="s">
        <v>85</v>
      </c>
      <c r="B55" s="10" t="s">
        <v>105</v>
      </c>
      <c r="C55" s="10" t="s">
        <v>106</v>
      </c>
      <c r="D55" s="10" t="s">
        <v>107</v>
      </c>
      <c r="E55" s="10" t="s">
        <v>108</v>
      </c>
      <c r="F55" s="15"/>
      <c r="G55" s="15"/>
      <c r="H55" s="15"/>
      <c r="I55" s="15"/>
      <c r="J55" s="15"/>
      <c r="K55" s="15"/>
      <c r="L55" s="15"/>
      <c r="M55" s="15"/>
    </row>
    <row r="56" spans="1:13" x14ac:dyDescent="0.2">
      <c r="A56" s="30" t="s">
        <v>70</v>
      </c>
      <c r="B56" s="70">
        <f>+C4</f>
        <v>34200</v>
      </c>
      <c r="C56" s="70">
        <f>+H8</f>
        <v>43563.297019056037</v>
      </c>
      <c r="D56" s="70">
        <f>AVERAGE($B$56:$B$67)</f>
        <v>30608.333333333332</v>
      </c>
      <c r="E56" s="70">
        <f>+B56-C56</f>
        <v>-9363.2970190560372</v>
      </c>
      <c r="F56" s="15"/>
      <c r="G56" s="15"/>
      <c r="H56" s="15"/>
      <c r="I56" s="15"/>
      <c r="J56" s="15"/>
      <c r="K56" s="15"/>
      <c r="L56" s="15"/>
      <c r="M56" s="15"/>
    </row>
    <row r="57" spans="1:13" x14ac:dyDescent="0.2">
      <c r="A57" s="104" t="s">
        <v>71</v>
      </c>
      <c r="B57" s="105">
        <f t="shared" ref="B57:B67" si="2">+C5</f>
        <v>35500</v>
      </c>
      <c r="C57" s="105">
        <f t="shared" ref="C57:C63" si="3">+H9</f>
        <v>36113.303229355959</v>
      </c>
      <c r="D57" s="105">
        <f t="shared" ref="D57:D67" si="4">AVERAGE($B$56:$B$67)</f>
        <v>30608.333333333332</v>
      </c>
      <c r="E57" s="105">
        <f t="shared" ref="E57:E67" si="5">+B57-C57</f>
        <v>-613.30322935595905</v>
      </c>
      <c r="F57" s="15"/>
      <c r="G57" s="15"/>
      <c r="H57" s="15"/>
      <c r="I57" s="15"/>
      <c r="J57" s="15"/>
      <c r="K57" s="15"/>
      <c r="L57" s="15"/>
      <c r="M57" s="15"/>
    </row>
    <row r="58" spans="1:13" x14ac:dyDescent="0.2">
      <c r="A58" s="30" t="s">
        <v>72</v>
      </c>
      <c r="B58" s="70">
        <f t="shared" si="2"/>
        <v>37100</v>
      </c>
      <c r="C58" s="70">
        <f t="shared" si="3"/>
        <v>35251.637280972311</v>
      </c>
      <c r="D58" s="70">
        <f t="shared" si="4"/>
        <v>30608.333333333332</v>
      </c>
      <c r="E58" s="70">
        <f t="shared" si="5"/>
        <v>1848.3627190276893</v>
      </c>
      <c r="F58" s="15"/>
      <c r="G58" s="15"/>
      <c r="H58" s="15"/>
      <c r="I58" s="15"/>
      <c r="J58" s="15"/>
      <c r="K58" s="15"/>
      <c r="L58" s="15"/>
      <c r="M58" s="15"/>
    </row>
    <row r="59" spans="1:13" x14ac:dyDescent="0.2">
      <c r="A59" s="104" t="s">
        <v>73</v>
      </c>
      <c r="B59" s="105">
        <f t="shared" si="2"/>
        <v>38000</v>
      </c>
      <c r="C59" s="105">
        <f t="shared" si="3"/>
        <v>29181.642340907951</v>
      </c>
      <c r="D59" s="105">
        <f t="shared" si="4"/>
        <v>30608.333333333332</v>
      </c>
      <c r="E59" s="105">
        <f t="shared" si="5"/>
        <v>8818.3576590920493</v>
      </c>
      <c r="F59" s="15"/>
      <c r="G59" s="15"/>
      <c r="H59" s="15"/>
      <c r="I59" s="15"/>
      <c r="J59" s="15"/>
      <c r="K59" s="15"/>
      <c r="L59" s="15"/>
      <c r="M59" s="15"/>
    </row>
    <row r="60" spans="1:13" x14ac:dyDescent="0.2">
      <c r="A60" s="30" t="s">
        <v>63</v>
      </c>
      <c r="B60" s="70">
        <f t="shared" si="2"/>
        <v>38100</v>
      </c>
      <c r="C60" s="70">
        <f t="shared" si="3"/>
        <v>25579.978676580915</v>
      </c>
      <c r="D60" s="70">
        <f t="shared" si="4"/>
        <v>30608.333333333332</v>
      </c>
      <c r="E60" s="70">
        <f t="shared" si="5"/>
        <v>12520.021323419085</v>
      </c>
      <c r="F60" s="15"/>
      <c r="G60" s="15"/>
      <c r="H60" s="15"/>
      <c r="I60" s="15"/>
      <c r="J60" s="15"/>
      <c r="K60" s="15"/>
      <c r="L60" s="15"/>
      <c r="M60" s="15"/>
    </row>
    <row r="61" spans="1:13" x14ac:dyDescent="0.2">
      <c r="A61" s="104" t="s">
        <v>64</v>
      </c>
      <c r="B61" s="105">
        <f t="shared" si="2"/>
        <v>29800</v>
      </c>
      <c r="C61" s="105">
        <f t="shared" si="3"/>
        <v>22311.648067721449</v>
      </c>
      <c r="D61" s="105">
        <f t="shared" si="4"/>
        <v>30608.333333333332</v>
      </c>
      <c r="E61" s="105">
        <f t="shared" si="5"/>
        <v>7488.3519322785505</v>
      </c>
      <c r="F61" s="15"/>
      <c r="G61" s="15"/>
      <c r="H61" s="15"/>
      <c r="I61" s="15"/>
      <c r="J61" s="15"/>
      <c r="K61" s="15"/>
      <c r="L61" s="15"/>
      <c r="M61" s="15"/>
    </row>
    <row r="62" spans="1:13" x14ac:dyDescent="0.2">
      <c r="A62" s="30" t="s">
        <v>65</v>
      </c>
      <c r="B62" s="70">
        <f t="shared" si="2"/>
        <v>28750</v>
      </c>
      <c r="C62" s="70">
        <f t="shared" si="3"/>
        <v>24124.979889464998</v>
      </c>
      <c r="D62" s="70">
        <f t="shared" si="4"/>
        <v>30608.333333333332</v>
      </c>
      <c r="E62" s="70">
        <f t="shared" si="5"/>
        <v>4625.0201105350025</v>
      </c>
      <c r="F62" s="15"/>
      <c r="G62" s="15"/>
      <c r="H62" s="15"/>
      <c r="I62" s="15"/>
      <c r="J62" s="15"/>
      <c r="K62" s="15"/>
      <c r="L62" s="15"/>
      <c r="M62" s="15"/>
    </row>
    <row r="63" spans="1:13" x14ac:dyDescent="0.2">
      <c r="A63" s="104" t="s">
        <v>4</v>
      </c>
      <c r="B63" s="105">
        <f t="shared" si="2"/>
        <v>28500</v>
      </c>
      <c r="C63" s="105">
        <f t="shared" si="3"/>
        <v>28103.309906470375</v>
      </c>
      <c r="D63" s="105">
        <f t="shared" si="4"/>
        <v>30608.333333333332</v>
      </c>
      <c r="E63" s="105">
        <f t="shared" si="5"/>
        <v>396.6900935296253</v>
      </c>
      <c r="F63" s="15"/>
      <c r="G63" s="15"/>
      <c r="H63" s="15"/>
      <c r="I63" s="15"/>
      <c r="J63" s="15"/>
      <c r="K63" s="15"/>
      <c r="L63" s="15"/>
      <c r="M63" s="15"/>
    </row>
    <row r="64" spans="1:13" x14ac:dyDescent="0.2">
      <c r="A64" s="30" t="s">
        <v>66</v>
      </c>
      <c r="B64" s="70">
        <f t="shared" si="2"/>
        <v>24100</v>
      </c>
      <c r="C64" s="70">
        <f>+H4</f>
        <v>31961.640023507432</v>
      </c>
      <c r="D64" s="70">
        <f t="shared" si="4"/>
        <v>30608.333333333332</v>
      </c>
      <c r="E64" s="70">
        <f t="shared" si="5"/>
        <v>-7861.6400235074325</v>
      </c>
      <c r="F64" s="15"/>
      <c r="G64" s="15"/>
      <c r="H64" s="15"/>
      <c r="I64" s="15"/>
      <c r="J64" s="15"/>
      <c r="K64" s="15"/>
      <c r="L64" s="15"/>
      <c r="M64" s="15"/>
    </row>
    <row r="65" spans="1:13" x14ac:dyDescent="0.2">
      <c r="A65" s="104" t="s">
        <v>67</v>
      </c>
      <c r="B65" s="105">
        <f t="shared" si="2"/>
        <v>23500</v>
      </c>
      <c r="C65" s="105">
        <f t="shared" ref="C65:C67" si="6">+H5</f>
        <v>37943.301703872894</v>
      </c>
      <c r="D65" s="105">
        <f t="shared" si="4"/>
        <v>30608.333333333332</v>
      </c>
      <c r="E65" s="105">
        <f t="shared" si="5"/>
        <v>-14443.301703872894</v>
      </c>
      <c r="F65" s="15"/>
      <c r="G65" s="15"/>
      <c r="H65" s="15"/>
      <c r="I65" s="15"/>
      <c r="J65" s="15"/>
      <c r="K65" s="15"/>
      <c r="L65" s="15"/>
      <c r="M65" s="15"/>
    </row>
    <row r="66" spans="1:13" x14ac:dyDescent="0.2">
      <c r="A66" s="30" t="s">
        <v>68</v>
      </c>
      <c r="B66" s="70">
        <f t="shared" si="2"/>
        <v>24450</v>
      </c>
      <c r="C66" s="70">
        <f t="shared" si="6"/>
        <v>41056.632441939932</v>
      </c>
      <c r="D66" s="70">
        <f t="shared" si="4"/>
        <v>30608.333333333332</v>
      </c>
      <c r="E66" s="70">
        <f t="shared" si="5"/>
        <v>-16606.632441939932</v>
      </c>
      <c r="F66" s="15"/>
      <c r="G66" s="15"/>
      <c r="H66" s="15"/>
      <c r="I66" s="15"/>
      <c r="J66" s="15"/>
      <c r="K66" s="15"/>
      <c r="L66" s="15"/>
      <c r="M66" s="15"/>
    </row>
    <row r="67" spans="1:13" x14ac:dyDescent="0.2">
      <c r="A67" s="104" t="s">
        <v>69</v>
      </c>
      <c r="B67" s="105">
        <f t="shared" si="2"/>
        <v>25300</v>
      </c>
      <c r="C67" s="105">
        <f t="shared" si="6"/>
        <v>44681.6294201497</v>
      </c>
      <c r="D67" s="105">
        <f t="shared" si="4"/>
        <v>30608.333333333332</v>
      </c>
      <c r="E67" s="105">
        <f t="shared" si="5"/>
        <v>-19381.6294201497</v>
      </c>
      <c r="F67" s="15"/>
      <c r="G67" s="15"/>
      <c r="H67" s="15"/>
      <c r="I67" s="15"/>
      <c r="J67" s="15"/>
      <c r="K67" s="15"/>
      <c r="L67" s="15"/>
      <c r="M67" s="15"/>
    </row>
  </sheetData>
  <mergeCells count="4">
    <mergeCell ref="C2:G2"/>
    <mergeCell ref="A1:B1"/>
    <mergeCell ref="I1:K1"/>
    <mergeCell ref="C1:H1"/>
  </mergeCells>
  <conditionalFormatting sqref="C4:C15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{AEFEE916-6FFD-4F84-AB53-36DDB9B49914}</x14:id>
        </ext>
      </extLst>
    </cfRule>
  </conditionalFormatting>
  <conditionalFormatting sqref="D4:D1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{C620D3CE-5E58-4580-B184-2825142561AB}</x14:id>
        </ext>
      </extLst>
    </cfRule>
  </conditionalFormatting>
  <conditionalFormatting sqref="D4:E15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{9761458F-95AD-4C1E-8151-D3BBFD58E6A4}</x14:id>
        </ext>
      </extLst>
    </cfRule>
  </conditionalFormatting>
  <conditionalFormatting sqref="E4:E1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{04D34D09-9395-48A1-8161-CBE47C4D45FA}</x14:id>
        </ext>
      </extLst>
    </cfRule>
  </conditionalFormatting>
  <conditionalFormatting sqref="F4:F1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{CEF9464E-0083-4FD3-BB3F-0289473B813F}</x14:id>
        </ext>
      </extLst>
    </cfRule>
  </conditionalFormatting>
  <conditionalFormatting sqref="F4:H15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{21A6CFBD-6067-4C10-BAB8-70D2BADE3ED2}</x14:id>
        </ext>
      </extLst>
    </cfRule>
  </conditionalFormatting>
  <conditionalFormatting sqref="G4:G1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{723917E9-5F75-457B-8B72-105C019D373B}</x14:id>
        </ext>
      </extLst>
    </cfRule>
  </conditionalFormatting>
  <conditionalFormatting sqref="H4:H1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{3601B7F5-D38A-4F41-AF3D-F6DE0F954057}</x14:id>
        </ext>
      </extLst>
    </cfRule>
  </conditionalFormatting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FEE916-6FFD-4F84-AB53-36DDB9B499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C4:C15</xm:sqref>
        </x14:conditionalFormatting>
        <x14:conditionalFormatting xmlns:xm="http://schemas.microsoft.com/office/excel/2006/main">
          <x14:cfRule type="dataBar" id="{C620D3CE-5E58-4580-B184-282514256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D4:D15</xm:sqref>
        </x14:conditionalFormatting>
        <x14:conditionalFormatting xmlns:xm="http://schemas.microsoft.com/office/excel/2006/main">
          <x14:cfRule type="dataBar" id="{9761458F-95AD-4C1E-8151-D3BBFD58E6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D4:E15</xm:sqref>
        </x14:conditionalFormatting>
        <x14:conditionalFormatting xmlns:xm="http://schemas.microsoft.com/office/excel/2006/main">
          <x14:cfRule type="dataBar" id="{04D34D09-9395-48A1-8161-CBE47C4D45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E4:E15</xm:sqref>
        </x14:conditionalFormatting>
        <x14:conditionalFormatting xmlns:xm="http://schemas.microsoft.com/office/excel/2006/main">
          <x14:cfRule type="dataBar" id="{CEF9464E-0083-4FD3-BB3F-0289473B8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F4:F15</xm:sqref>
        </x14:conditionalFormatting>
        <x14:conditionalFormatting xmlns:xm="http://schemas.microsoft.com/office/excel/2006/main">
          <x14:cfRule type="dataBar" id="{21A6CFBD-6067-4C10-BAB8-70D2BADE3E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F4:H15</xm:sqref>
        </x14:conditionalFormatting>
        <x14:conditionalFormatting xmlns:xm="http://schemas.microsoft.com/office/excel/2006/main">
          <x14:cfRule type="dataBar" id="{723917E9-5F75-457B-8B72-105C019D37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G4:G15</xm:sqref>
        </x14:conditionalFormatting>
        <x14:conditionalFormatting xmlns:xm="http://schemas.microsoft.com/office/excel/2006/main">
          <x14:cfRule type="dataBar" id="{3601B7F5-D38A-4F41-AF3D-F6DE0F9540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topLeftCell="A3" zoomScale="81" zoomScaleNormal="70" workbookViewId="0">
      <selection activeCell="F3" sqref="F3"/>
    </sheetView>
  </sheetViews>
  <sheetFormatPr baseColWidth="10" defaultColWidth="8.83203125" defaultRowHeight="15" x14ac:dyDescent="0.2"/>
  <cols>
    <col min="1" max="1" width="13" bestFit="1" customWidth="1"/>
    <col min="2" max="4" width="20.83203125" customWidth="1"/>
    <col min="5" max="5" width="2.1640625" customWidth="1"/>
    <col min="6" max="8" width="27.5" customWidth="1"/>
    <col min="10" max="10" width="3.33203125" bestFit="1" customWidth="1"/>
    <col min="11" max="11" width="2.83203125" bestFit="1" customWidth="1"/>
    <col min="12" max="12" width="10.5" bestFit="1" customWidth="1"/>
  </cols>
  <sheetData>
    <row r="1" spans="1:13" s="2" customFormat="1" ht="22" x14ac:dyDescent="0.2">
      <c r="A1" s="228" t="s">
        <v>5</v>
      </c>
      <c r="B1" s="229"/>
      <c r="C1" s="228" t="s">
        <v>6</v>
      </c>
      <c r="D1" s="230"/>
      <c r="E1" s="230"/>
      <c r="F1" s="230"/>
      <c r="G1" s="230"/>
      <c r="H1" s="230"/>
      <c r="I1" s="203" t="s">
        <v>7</v>
      </c>
      <c r="J1" s="231"/>
      <c r="K1" s="231"/>
      <c r="L1"/>
      <c r="M1"/>
    </row>
    <row r="2" spans="1:13" s="1" customFormat="1" ht="30" x14ac:dyDescent="0.2">
      <c r="A2" s="120" t="s">
        <v>119</v>
      </c>
      <c r="B2" s="120" t="s">
        <v>145</v>
      </c>
      <c r="C2" s="120" t="s">
        <v>146</v>
      </c>
      <c r="D2" s="120" t="s">
        <v>147</v>
      </c>
      <c r="E2" s="120"/>
      <c r="F2" s="120" t="s">
        <v>148</v>
      </c>
      <c r="G2" s="120" t="s">
        <v>149</v>
      </c>
      <c r="H2" s="120" t="s">
        <v>150</v>
      </c>
      <c r="I2" s="29"/>
      <c r="J2" s="120"/>
      <c r="K2" s="120"/>
    </row>
    <row r="3" spans="1:13" x14ac:dyDescent="0.2">
      <c r="A3" s="142">
        <v>1</v>
      </c>
      <c r="B3" s="143">
        <v>0</v>
      </c>
      <c r="C3" s="143">
        <f>+'Year 1'!G16</f>
        <v>24405.652991452993</v>
      </c>
      <c r="D3" s="143">
        <f>+C3+B3</f>
        <v>24405.652991452993</v>
      </c>
      <c r="E3" s="143"/>
      <c r="F3" s="143">
        <f>+'General Data'!$C$32-'Operating Costs'!D3</f>
        <v>71320.842735042723</v>
      </c>
      <c r="G3" s="143">
        <f>+F3-'General Data'!$B$35</f>
        <v>3320.8427350427228</v>
      </c>
      <c r="H3" s="144">
        <f>+G3/'General Data'!$B$35</f>
        <v>4.8835922574157691E-2</v>
      </c>
      <c r="I3" s="15"/>
      <c r="J3" s="148" t="str">
        <f>IF(ABS(H3)&lt;0.0501,"OK","FALSE")</f>
        <v>OK</v>
      </c>
      <c r="K3" s="148" t="str">
        <f>IF(ABS(H3)&lt;0.0501,"✔","✖")</f>
        <v>✔</v>
      </c>
      <c r="L3" s="5"/>
    </row>
    <row r="4" spans="1:13" x14ac:dyDescent="0.2">
      <c r="A4" s="145">
        <v>2</v>
      </c>
      <c r="B4" s="146">
        <f t="shared" ref="B4:B17" si="0">B3*1.02</f>
        <v>0</v>
      </c>
      <c r="C4" s="146">
        <f>'Energy Price'!F8</f>
        <v>27576.258404908112</v>
      </c>
      <c r="D4" s="146">
        <f t="shared" ref="D4:D17" si="1">+C4+B4</f>
        <v>27576.258404908112</v>
      </c>
      <c r="E4" s="146"/>
      <c r="F4" s="146">
        <f>+'General Data'!$C$32-'Operating Costs'!D4</f>
        <v>68150.2373215876</v>
      </c>
      <c r="G4" s="146">
        <f>+F4-'General Data'!$B$35</f>
        <v>150.23732158759958</v>
      </c>
      <c r="H4" s="144">
        <f>+G4/'General Data'!$B$35</f>
        <v>2.2093723762882291E-3</v>
      </c>
      <c r="I4" s="106"/>
      <c r="J4" s="148" t="str">
        <f>IF(ABS(H4)&lt;0.0501,"OK","FALSE")</f>
        <v>OK</v>
      </c>
      <c r="K4" s="148" t="str">
        <f t="shared" ref="K4:K17" si="2">IF(ABS(H4)&lt;0.0501,"✔","✖")</f>
        <v>✔</v>
      </c>
    </row>
    <row r="5" spans="1:13" x14ac:dyDescent="0.2">
      <c r="A5" s="142">
        <v>3</v>
      </c>
      <c r="B5" s="143">
        <f t="shared" si="0"/>
        <v>0</v>
      </c>
      <c r="C5" s="143">
        <f>'Energy Price'!F9</f>
        <v>28180.867870435723</v>
      </c>
      <c r="D5" s="143">
        <f t="shared" si="1"/>
        <v>28180.867870435723</v>
      </c>
      <c r="E5" s="143"/>
      <c r="F5" s="143">
        <f>+'General Data'!$C$32-'Operating Costs'!D5</f>
        <v>67545.627856059989</v>
      </c>
      <c r="G5" s="143">
        <f>+F5-'General Data'!$B$35</f>
        <v>-454.37214394001057</v>
      </c>
      <c r="H5" s="144">
        <f>+G5/'General Data'!$B$35</f>
        <v>-6.6819432932354499E-3</v>
      </c>
      <c r="I5" s="15"/>
      <c r="J5" s="148" t="str">
        <f t="shared" ref="J5:J17" si="3">IF(ABS(H5)&lt;0.0501,"OK","FALSE")</f>
        <v>OK</v>
      </c>
      <c r="K5" s="148" t="str">
        <f t="shared" si="2"/>
        <v>✔</v>
      </c>
    </row>
    <row r="6" spans="1:13" x14ac:dyDescent="0.2">
      <c r="A6" s="145">
        <v>4</v>
      </c>
      <c r="B6" s="146">
        <f t="shared" si="0"/>
        <v>0</v>
      </c>
      <c r="C6" s="146">
        <f>'Energy Price'!F10</f>
        <v>28798.733398495024</v>
      </c>
      <c r="D6" s="146">
        <f t="shared" si="1"/>
        <v>28798.733398495024</v>
      </c>
      <c r="E6" s="146"/>
      <c r="F6" s="146">
        <f>+'General Data'!$C$32-'Operating Costs'!D6</f>
        <v>66927.762328000696</v>
      </c>
      <c r="G6" s="146">
        <f>+F6-'General Data'!$B$35</f>
        <v>-1072.2376719993044</v>
      </c>
      <c r="H6" s="144">
        <f>+G6/'General Data'!$B$35</f>
        <v>-1.5768201058813301E-2</v>
      </c>
      <c r="I6" s="106"/>
      <c r="J6" s="148" t="str">
        <f t="shared" si="3"/>
        <v>OK</v>
      </c>
      <c r="K6" s="148" t="str">
        <f t="shared" si="2"/>
        <v>✔</v>
      </c>
    </row>
    <row r="7" spans="1:13" x14ac:dyDescent="0.2">
      <c r="A7" s="142">
        <v>5</v>
      </c>
      <c r="B7" s="143">
        <f t="shared" si="0"/>
        <v>0</v>
      </c>
      <c r="C7" s="143">
        <f>'Energy Price'!F11</f>
        <v>29430.145628257025</v>
      </c>
      <c r="D7" s="143">
        <f t="shared" si="1"/>
        <v>29430.145628257025</v>
      </c>
      <c r="E7" s="143"/>
      <c r="F7" s="143">
        <f>+'General Data'!$C$32-'Operating Costs'!D7</f>
        <v>66296.35009823869</v>
      </c>
      <c r="G7" s="143">
        <f>+F7-'General Data'!$B$35</f>
        <v>-1703.6499017613096</v>
      </c>
      <c r="H7" s="144">
        <f>+G7/'General Data'!$B$35</f>
        <v>-2.5053675025901612E-2</v>
      </c>
      <c r="I7" s="15"/>
      <c r="J7" s="148" t="str">
        <f t="shared" si="3"/>
        <v>OK</v>
      </c>
      <c r="K7" s="148" t="str">
        <f t="shared" si="2"/>
        <v>✔</v>
      </c>
    </row>
    <row r="8" spans="1:13" x14ac:dyDescent="0.2">
      <c r="A8" s="145">
        <v>6</v>
      </c>
      <c r="B8" s="146">
        <f t="shared" si="0"/>
        <v>0</v>
      </c>
      <c r="C8" s="146">
        <f>'Energy Price'!F12</f>
        <v>30075.401571156555</v>
      </c>
      <c r="D8" s="146">
        <f t="shared" si="1"/>
        <v>30075.401571156555</v>
      </c>
      <c r="E8" s="146"/>
      <c r="F8" s="146">
        <f>+'General Data'!$C$32-'Operating Costs'!D8</f>
        <v>65651.09415533916</v>
      </c>
      <c r="G8" s="146">
        <f>+F8-'General Data'!$B$35</f>
        <v>-2348.9058446608396</v>
      </c>
      <c r="H8" s="144">
        <f>+G8/'General Data'!$B$35</f>
        <v>-3.4542733009718232E-2</v>
      </c>
      <c r="I8" s="106"/>
      <c r="J8" s="148" t="str">
        <f t="shared" si="3"/>
        <v>OK</v>
      </c>
      <c r="K8" s="148" t="str">
        <f t="shared" si="2"/>
        <v>✔</v>
      </c>
    </row>
    <row r="9" spans="1:13" x14ac:dyDescent="0.2">
      <c r="A9" s="142">
        <v>7</v>
      </c>
      <c r="B9" s="143">
        <f t="shared" si="0"/>
        <v>0</v>
      </c>
      <c r="C9" s="143">
        <f>'Energy Price'!F13</f>
        <v>30734.804750604162</v>
      </c>
      <c r="D9" s="143">
        <f t="shared" si="1"/>
        <v>30734.804750604162</v>
      </c>
      <c r="E9" s="143"/>
      <c r="F9" s="143">
        <f>+'General Data'!$C$32-'Operating Costs'!D9</f>
        <v>64991.690975891557</v>
      </c>
      <c r="G9" s="143">
        <f>+F9-'General Data'!$B$35</f>
        <v>-3008.3090241084428</v>
      </c>
      <c r="H9" s="144">
        <f>+G9/'General Data'!$B$35</f>
        <v>-4.4239838589830043E-2</v>
      </c>
      <c r="I9" s="15"/>
      <c r="J9" s="148" t="str">
        <f t="shared" si="3"/>
        <v>OK</v>
      </c>
      <c r="K9" s="148" t="str">
        <f t="shared" si="2"/>
        <v>✔</v>
      </c>
    </row>
    <row r="10" spans="1:13" x14ac:dyDescent="0.2">
      <c r="A10" s="145">
        <v>8</v>
      </c>
      <c r="B10" s="146">
        <f t="shared" si="0"/>
        <v>0</v>
      </c>
      <c r="C10" s="146">
        <v>28345</v>
      </c>
      <c r="D10" s="146">
        <f t="shared" si="1"/>
        <v>28345</v>
      </c>
      <c r="E10" s="146"/>
      <c r="F10" s="146">
        <f>+'General Data'!$C$32-'Operating Costs'!D10</f>
        <v>67381.495726495719</v>
      </c>
      <c r="G10" s="146">
        <f>+F10-'General Data'!$B$35</f>
        <v>-618.50427350428072</v>
      </c>
      <c r="H10" s="144">
        <f>+G10/'General Data'!$B$35</f>
        <v>-9.095651080945304E-3</v>
      </c>
      <c r="I10" s="106"/>
      <c r="J10" s="148" t="str">
        <f t="shared" si="3"/>
        <v>OK</v>
      </c>
      <c r="K10" s="148" t="str">
        <f t="shared" si="2"/>
        <v>✔</v>
      </c>
    </row>
    <row r="11" spans="1:13" x14ac:dyDescent="0.2">
      <c r="A11" s="142">
        <v>9</v>
      </c>
      <c r="B11" s="143">
        <f t="shared" si="0"/>
        <v>0</v>
      </c>
      <c r="C11" s="143">
        <v>25234</v>
      </c>
      <c r="D11" s="143">
        <f t="shared" si="1"/>
        <v>25234</v>
      </c>
      <c r="E11" s="143"/>
      <c r="F11" s="143">
        <f>+'General Data'!$C$32-'Operating Costs'!D11</f>
        <v>70492.495726495719</v>
      </c>
      <c r="G11" s="143">
        <f>+F11-'General Data'!$B$35</f>
        <v>2492.4957264957193</v>
      </c>
      <c r="H11" s="144">
        <f>+G11/'General Data'!$B$35</f>
        <v>3.6654348919054697E-2</v>
      </c>
      <c r="I11" s="15"/>
      <c r="J11" s="148" t="str">
        <f t="shared" si="3"/>
        <v>OK</v>
      </c>
      <c r="K11" s="148" t="str">
        <f t="shared" si="2"/>
        <v>✔</v>
      </c>
    </row>
    <row r="12" spans="1:13" x14ac:dyDescent="0.2">
      <c r="A12" s="145">
        <v>10</v>
      </c>
      <c r="B12" s="146">
        <f t="shared" si="0"/>
        <v>0</v>
      </c>
      <c r="C12" s="146">
        <v>25000</v>
      </c>
      <c r="D12" s="146">
        <f t="shared" si="1"/>
        <v>25000</v>
      </c>
      <c r="E12" s="146"/>
      <c r="F12" s="146">
        <f>+'General Data'!$C$32-'Operating Costs'!D12</f>
        <v>70726.495726495719</v>
      </c>
      <c r="G12" s="146">
        <f>+F12-'General Data'!$B$35</f>
        <v>2726.4957264957193</v>
      </c>
      <c r="H12" s="144">
        <f>+G12/'General Data'!$B$35</f>
        <v>4.0095525389642929E-2</v>
      </c>
      <c r="I12" s="106"/>
      <c r="J12" s="148" t="str">
        <f t="shared" si="3"/>
        <v>OK</v>
      </c>
      <c r="K12" s="148" t="str">
        <f t="shared" si="2"/>
        <v>✔</v>
      </c>
    </row>
    <row r="13" spans="1:13" x14ac:dyDescent="0.2">
      <c r="A13" s="142">
        <v>11</v>
      </c>
      <c r="B13" s="143">
        <f t="shared" si="0"/>
        <v>0</v>
      </c>
      <c r="C13" s="143">
        <v>25555</v>
      </c>
      <c r="D13" s="143">
        <f t="shared" si="1"/>
        <v>25555</v>
      </c>
      <c r="E13" s="143"/>
      <c r="F13" s="143">
        <f>+'General Data'!$C$32-'Operating Costs'!D13</f>
        <v>70171.495726495719</v>
      </c>
      <c r="G13" s="143">
        <f>+F13-'General Data'!$B$35</f>
        <v>2171.4957264957193</v>
      </c>
      <c r="H13" s="144">
        <f>+G13/'General Data'!$B$35</f>
        <v>3.1933760683760574E-2</v>
      </c>
      <c r="I13" s="15"/>
      <c r="J13" s="148" t="str">
        <f t="shared" si="3"/>
        <v>OK</v>
      </c>
      <c r="K13" s="148" t="str">
        <f t="shared" si="2"/>
        <v>✔</v>
      </c>
    </row>
    <row r="14" spans="1:13" x14ac:dyDescent="0.2">
      <c r="A14" s="145">
        <v>12</v>
      </c>
      <c r="B14" s="146">
        <f t="shared" si="0"/>
        <v>0</v>
      </c>
      <c r="C14" s="146">
        <v>24987</v>
      </c>
      <c r="D14" s="146">
        <f t="shared" si="1"/>
        <v>24987</v>
      </c>
      <c r="E14" s="146"/>
      <c r="F14" s="146">
        <f>+'General Data'!$C$32-'Operating Costs'!D14</f>
        <v>70739.495726495719</v>
      </c>
      <c r="G14" s="146">
        <f>+F14-'General Data'!$B$35</f>
        <v>2739.4957264957193</v>
      </c>
      <c r="H14" s="144">
        <f>+G14/'General Data'!$B$35</f>
        <v>4.0286701860231165E-2</v>
      </c>
      <c r="I14" s="106"/>
      <c r="J14" s="148" t="str">
        <f t="shared" si="3"/>
        <v>OK</v>
      </c>
      <c r="K14" s="148" t="str">
        <f t="shared" si="2"/>
        <v>✔</v>
      </c>
    </row>
    <row r="15" spans="1:13" x14ac:dyDescent="0.2">
      <c r="A15" s="142">
        <v>13</v>
      </c>
      <c r="B15" s="143">
        <f t="shared" si="0"/>
        <v>0</v>
      </c>
      <c r="C15" s="143">
        <v>26987</v>
      </c>
      <c r="D15" s="143">
        <f t="shared" si="1"/>
        <v>26987</v>
      </c>
      <c r="E15" s="143"/>
      <c r="F15" s="143">
        <f>+'General Data'!$C$32-'Operating Costs'!D15</f>
        <v>68739.495726495719</v>
      </c>
      <c r="G15" s="143">
        <f>+F15-'General Data'!$B$35</f>
        <v>739.49572649571928</v>
      </c>
      <c r="H15" s="144">
        <f>+G15/'General Data'!$B$35</f>
        <v>1.0874937154348813E-2</v>
      </c>
      <c r="I15" s="15"/>
      <c r="J15" s="148" t="str">
        <f t="shared" si="3"/>
        <v>OK</v>
      </c>
      <c r="K15" s="148" t="str">
        <f t="shared" si="2"/>
        <v>✔</v>
      </c>
    </row>
    <row r="16" spans="1:13" x14ac:dyDescent="0.2">
      <c r="A16" s="145">
        <v>14</v>
      </c>
      <c r="B16" s="146">
        <f t="shared" si="0"/>
        <v>0</v>
      </c>
      <c r="C16" s="146">
        <v>25678</v>
      </c>
      <c r="D16" s="146">
        <f t="shared" si="1"/>
        <v>25678</v>
      </c>
      <c r="E16" s="146"/>
      <c r="F16" s="146">
        <f>+'General Data'!$C$32-'Operating Costs'!D16</f>
        <v>70048.495726495719</v>
      </c>
      <c r="G16" s="146">
        <f>+F16-'General Data'!$B$35</f>
        <v>2048.4957264957193</v>
      </c>
      <c r="H16" s="144">
        <f>+G16/'General Data'!$B$35</f>
        <v>3.0124937154348812E-2</v>
      </c>
      <c r="I16" s="106"/>
      <c r="J16" s="148" t="str">
        <f t="shared" si="3"/>
        <v>OK</v>
      </c>
      <c r="K16" s="148" t="str">
        <f t="shared" si="2"/>
        <v>✔</v>
      </c>
    </row>
    <row r="17" spans="1:11" x14ac:dyDescent="0.2">
      <c r="A17" s="142">
        <v>15</v>
      </c>
      <c r="B17" s="143">
        <f t="shared" si="0"/>
        <v>0</v>
      </c>
      <c r="C17" s="143">
        <v>25900</v>
      </c>
      <c r="D17" s="143">
        <f t="shared" si="1"/>
        <v>25900</v>
      </c>
      <c r="E17" s="143"/>
      <c r="F17" s="143">
        <f>+'General Data'!$C$32-'Operating Costs'!D17</f>
        <v>69826.495726495719</v>
      </c>
      <c r="G17" s="143">
        <f>+F17-'General Data'!$B$35</f>
        <v>1826.4957264957193</v>
      </c>
      <c r="H17" s="144">
        <f>+G17/'General Data'!$B$35</f>
        <v>2.6860231271995872E-2</v>
      </c>
      <c r="I17" s="15"/>
      <c r="J17" s="148" t="str">
        <f t="shared" si="3"/>
        <v>OK</v>
      </c>
      <c r="K17" s="148" t="str">
        <f t="shared" si="2"/>
        <v>✔</v>
      </c>
    </row>
  </sheetData>
  <mergeCells count="3">
    <mergeCell ref="A1:B1"/>
    <mergeCell ref="C1:H1"/>
    <mergeCell ref="I1:K1"/>
  </mergeCells>
  <conditionalFormatting sqref="I3">
    <cfRule type="cellIs" priority="1" operator="between">
      <formula>-5</formula>
      <formula>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D6F9-64BB-4872-8B1D-29DE15F01DE7}">
  <dimension ref="A1:O19"/>
  <sheetViews>
    <sheetView zoomScale="75" zoomScaleNormal="70" workbookViewId="0">
      <selection activeCell="B5" sqref="B5"/>
    </sheetView>
  </sheetViews>
  <sheetFormatPr baseColWidth="10" defaultColWidth="8.83203125" defaultRowHeight="15" x14ac:dyDescent="0.2"/>
  <cols>
    <col min="1" max="1" width="11.33203125" bestFit="1" customWidth="1"/>
    <col min="2" max="2" width="40" customWidth="1"/>
    <col min="3" max="3" width="9.1640625" bestFit="1" customWidth="1"/>
    <col min="4" max="4" width="7.33203125" bestFit="1" customWidth="1"/>
    <col min="5" max="5" width="35" customWidth="1"/>
    <col min="6" max="6" width="6.83203125" bestFit="1" customWidth="1"/>
    <col min="7" max="7" width="9.83203125" bestFit="1" customWidth="1"/>
    <col min="8" max="8" width="20.33203125" bestFit="1" customWidth="1"/>
    <col min="9" max="9" width="14" bestFit="1" customWidth="1"/>
    <col min="11" max="15" width="21.6640625" customWidth="1"/>
  </cols>
  <sheetData>
    <row r="1" spans="1:15" s="2" customFormat="1" ht="22" x14ac:dyDescent="0.2">
      <c r="A1" s="200" t="s">
        <v>5</v>
      </c>
      <c r="B1" s="201"/>
      <c r="C1" s="203" t="s">
        <v>6</v>
      </c>
      <c r="D1" s="203"/>
      <c r="E1" s="203"/>
      <c r="F1" s="203"/>
      <c r="G1" s="203"/>
      <c r="H1" s="203"/>
      <c r="I1" s="203"/>
      <c r="J1" s="203"/>
      <c r="K1" s="203"/>
      <c r="L1" s="203"/>
      <c r="M1" s="203" t="s">
        <v>7</v>
      </c>
      <c r="N1" s="203"/>
      <c r="O1" s="203"/>
    </row>
    <row r="2" spans="1:15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30" x14ac:dyDescent="0.2">
      <c r="A3" s="120">
        <v>0</v>
      </c>
      <c r="B3" s="120" t="s">
        <v>29</v>
      </c>
      <c r="C3" s="149">
        <f>'General Data'!B28</f>
        <v>1080000</v>
      </c>
      <c r="D3" s="120">
        <v>5.2999999999999998E-4</v>
      </c>
      <c r="E3" s="120" t="s">
        <v>151</v>
      </c>
      <c r="F3" s="150">
        <f>C3*D3</f>
        <v>572.4</v>
      </c>
      <c r="G3" s="120" t="s">
        <v>152</v>
      </c>
      <c r="H3" s="120" t="s">
        <v>153</v>
      </c>
      <c r="I3" s="120" t="s">
        <v>154</v>
      </c>
      <c r="J3" s="17"/>
      <c r="K3" s="120" t="s">
        <v>155</v>
      </c>
      <c r="L3" s="120" t="s">
        <v>156</v>
      </c>
      <c r="M3" s="120" t="s">
        <v>154</v>
      </c>
      <c r="N3" s="120" t="s">
        <v>152</v>
      </c>
      <c r="O3" s="120" t="str">
        <f>H3</f>
        <v>Electricity Savings [kWh]</v>
      </c>
    </row>
    <row r="4" spans="1:15" x14ac:dyDescent="0.2">
      <c r="A4" s="126">
        <v>1</v>
      </c>
      <c r="B4" s="151" t="s">
        <v>157</v>
      </c>
      <c r="C4" s="152">
        <f>+'Year 1'!C16</f>
        <v>367300</v>
      </c>
      <c r="D4" s="124">
        <v>5.2999999999999998E-4</v>
      </c>
      <c r="E4" s="124" t="s">
        <v>158</v>
      </c>
      <c r="F4" s="153">
        <f>+C4*D4</f>
        <v>194.66899999999998</v>
      </c>
      <c r="G4" s="154">
        <f>+($F$3-F4)/$F$3</f>
        <v>0.65990740740740739</v>
      </c>
      <c r="H4" s="155">
        <f>+$C$3-C4</f>
        <v>712700</v>
      </c>
      <c r="I4" s="153">
        <f>+H4*D4</f>
        <v>377.73099999999999</v>
      </c>
      <c r="J4" s="17"/>
      <c r="K4" s="153">
        <f>+$C$3*$D$3</f>
        <v>572.4</v>
      </c>
      <c r="L4" s="169">
        <f>+F4</f>
        <v>194.66899999999998</v>
      </c>
      <c r="M4" s="169">
        <f>+I4</f>
        <v>377.73099999999999</v>
      </c>
      <c r="N4" s="170">
        <f t="shared" ref="N4:N16" si="0">+G4</f>
        <v>0.65990740740740739</v>
      </c>
      <c r="O4" s="152">
        <f>+H4</f>
        <v>712700</v>
      </c>
    </row>
    <row r="5" spans="1:15" x14ac:dyDescent="0.2">
      <c r="A5" s="128">
        <v>2</v>
      </c>
      <c r="B5" s="122" t="s">
        <v>159</v>
      </c>
      <c r="C5" s="156">
        <f>'System Consumption'!B4</f>
        <v>366198.1</v>
      </c>
      <c r="D5" s="122">
        <v>5.2999999999999998E-4</v>
      </c>
      <c r="E5" s="122" t="s">
        <v>160</v>
      </c>
      <c r="F5" s="157">
        <f>+C5*D5</f>
        <v>194.08499299999997</v>
      </c>
      <c r="G5" s="158">
        <f>+($F$3-F5)/$F$3</f>
        <v>0.6609276851851853</v>
      </c>
      <c r="H5" s="159">
        <f t="shared" ref="H5:H16" si="1">+$C$3-C5</f>
        <v>713801.9</v>
      </c>
      <c r="I5" s="157">
        <f t="shared" ref="I5:I16" si="2">+H5*D5</f>
        <v>378.31500699999998</v>
      </c>
      <c r="J5" s="107"/>
      <c r="K5" s="157">
        <f t="shared" ref="K5:K16" si="3">+$C$3*$D$3</f>
        <v>572.4</v>
      </c>
      <c r="L5" s="171">
        <f t="shared" ref="L5:L16" si="4">+F5</f>
        <v>194.08499299999997</v>
      </c>
      <c r="M5" s="171">
        <f t="shared" ref="M5:M16" si="5">+I5</f>
        <v>378.31500699999998</v>
      </c>
      <c r="N5" s="172">
        <f t="shared" si="0"/>
        <v>0.6609276851851853</v>
      </c>
      <c r="O5" s="156">
        <f t="shared" ref="O5:O16" si="6">+H5</f>
        <v>713801.9</v>
      </c>
    </row>
    <row r="6" spans="1:15" x14ac:dyDescent="0.2">
      <c r="A6" s="126">
        <v>3</v>
      </c>
      <c r="B6" s="151" t="s">
        <v>161</v>
      </c>
      <c r="C6" s="155">
        <f>'System Consumption'!B5</f>
        <v>365099.50569999998</v>
      </c>
      <c r="D6" s="124">
        <v>5.2999999999999998E-4</v>
      </c>
      <c r="E6" s="124" t="s">
        <v>162</v>
      </c>
      <c r="F6" s="153">
        <f t="shared" ref="F6:F16" si="7">+C6*D6</f>
        <v>193.50273802099997</v>
      </c>
      <c r="G6" s="154">
        <f t="shared" ref="G6:G16" si="8">+($F$3-F6)/$F$3</f>
        <v>0.66194490212962964</v>
      </c>
      <c r="H6" s="155">
        <f t="shared" si="1"/>
        <v>714900.49430000002</v>
      </c>
      <c r="I6" s="153">
        <f t="shared" si="2"/>
        <v>378.89726197900001</v>
      </c>
      <c r="J6" s="17"/>
      <c r="K6" s="153">
        <f t="shared" si="3"/>
        <v>572.4</v>
      </c>
      <c r="L6" s="169">
        <f t="shared" si="4"/>
        <v>193.50273802099997</v>
      </c>
      <c r="M6" s="169">
        <f t="shared" si="5"/>
        <v>378.89726197900001</v>
      </c>
      <c r="N6" s="170">
        <f t="shared" si="0"/>
        <v>0.66194490212962964</v>
      </c>
      <c r="O6" s="152">
        <f t="shared" si="6"/>
        <v>714900.49430000002</v>
      </c>
    </row>
    <row r="7" spans="1:15" x14ac:dyDescent="0.2">
      <c r="A7" s="128">
        <v>4</v>
      </c>
      <c r="B7" s="122" t="s">
        <v>163</v>
      </c>
      <c r="C7" s="159">
        <f>'System Consumption'!B6</f>
        <v>364004.20718289999</v>
      </c>
      <c r="D7" s="122">
        <v>5.2999999999999998E-4</v>
      </c>
      <c r="E7" s="122" t="s">
        <v>164</v>
      </c>
      <c r="F7" s="157">
        <f t="shared" si="7"/>
        <v>192.922229806937</v>
      </c>
      <c r="G7" s="158">
        <f t="shared" si="8"/>
        <v>0.66295906742324073</v>
      </c>
      <c r="H7" s="159">
        <f t="shared" si="1"/>
        <v>715995.79281709995</v>
      </c>
      <c r="I7" s="157">
        <f t="shared" si="2"/>
        <v>379.47777019306295</v>
      </c>
      <c r="J7" s="107"/>
      <c r="K7" s="157">
        <f t="shared" si="3"/>
        <v>572.4</v>
      </c>
      <c r="L7" s="171">
        <f t="shared" si="4"/>
        <v>192.922229806937</v>
      </c>
      <c r="M7" s="171">
        <f t="shared" si="5"/>
        <v>379.47777019306295</v>
      </c>
      <c r="N7" s="172">
        <f t="shared" si="0"/>
        <v>0.66295906742324073</v>
      </c>
      <c r="O7" s="156">
        <f t="shared" si="6"/>
        <v>715995.79281709995</v>
      </c>
    </row>
    <row r="8" spans="1:15" x14ac:dyDescent="0.2">
      <c r="A8" s="126">
        <v>5</v>
      </c>
      <c r="B8" s="151" t="s">
        <v>165</v>
      </c>
      <c r="C8" s="155">
        <f>'System Consumption'!B7</f>
        <v>362912.19456135127</v>
      </c>
      <c r="D8" s="124">
        <v>5.2999999999999998E-4</v>
      </c>
      <c r="E8" s="124" t="s">
        <v>166</v>
      </c>
      <c r="F8" s="153">
        <f t="shared" si="7"/>
        <v>192.34346311751617</v>
      </c>
      <c r="G8" s="154">
        <f t="shared" si="8"/>
        <v>0.66397019022097103</v>
      </c>
      <c r="H8" s="155">
        <f t="shared" si="1"/>
        <v>717087.80543864868</v>
      </c>
      <c r="I8" s="153">
        <f t="shared" si="2"/>
        <v>380.05653688248378</v>
      </c>
      <c r="J8" s="17"/>
      <c r="K8" s="153">
        <f t="shared" si="3"/>
        <v>572.4</v>
      </c>
      <c r="L8" s="169">
        <f t="shared" si="4"/>
        <v>192.34346311751617</v>
      </c>
      <c r="M8" s="169">
        <f t="shared" si="5"/>
        <v>380.05653688248378</v>
      </c>
      <c r="N8" s="170">
        <f t="shared" si="0"/>
        <v>0.66397019022097103</v>
      </c>
      <c r="O8" s="152">
        <f t="shared" si="6"/>
        <v>717087.80543864868</v>
      </c>
    </row>
    <row r="9" spans="1:15" x14ac:dyDescent="0.2">
      <c r="A9" s="128">
        <v>6</v>
      </c>
      <c r="B9" s="122" t="s">
        <v>167</v>
      </c>
      <c r="C9" s="159">
        <f>'System Consumption'!B8</f>
        <v>361823.45797766722</v>
      </c>
      <c r="D9" s="122">
        <v>5.2999999999999998E-4</v>
      </c>
      <c r="E9" s="122" t="s">
        <v>168</v>
      </c>
      <c r="F9" s="157">
        <f t="shared" si="7"/>
        <v>191.76643272816361</v>
      </c>
      <c r="G9" s="158">
        <f t="shared" si="8"/>
        <v>0.66497827965030809</v>
      </c>
      <c r="H9" s="159">
        <f t="shared" si="1"/>
        <v>718176.54202233278</v>
      </c>
      <c r="I9" s="157">
        <f t="shared" si="2"/>
        <v>380.63356727183634</v>
      </c>
      <c r="J9" s="107"/>
      <c r="K9" s="157">
        <f t="shared" si="3"/>
        <v>572.4</v>
      </c>
      <c r="L9" s="171">
        <f t="shared" si="4"/>
        <v>191.76643272816361</v>
      </c>
      <c r="M9" s="171">
        <f t="shared" si="5"/>
        <v>380.63356727183634</v>
      </c>
      <c r="N9" s="172">
        <f t="shared" si="0"/>
        <v>0.66497827965030809</v>
      </c>
      <c r="O9" s="156">
        <f t="shared" si="6"/>
        <v>718176.54202233278</v>
      </c>
    </row>
    <row r="10" spans="1:15" x14ac:dyDescent="0.2">
      <c r="A10" s="126">
        <v>7</v>
      </c>
      <c r="B10" s="151" t="s">
        <v>169</v>
      </c>
      <c r="C10" s="155">
        <f>'System Consumption'!B9</f>
        <v>360737.98760373419</v>
      </c>
      <c r="D10" s="124">
        <v>5.2999999999999998E-4</v>
      </c>
      <c r="E10" s="124" t="s">
        <v>170</v>
      </c>
      <c r="F10" s="153">
        <f t="shared" si="7"/>
        <v>191.19113342997912</v>
      </c>
      <c r="G10" s="154">
        <f t="shared" si="8"/>
        <v>0.66598334481135724</v>
      </c>
      <c r="H10" s="155">
        <f t="shared" si="1"/>
        <v>719262.01239626575</v>
      </c>
      <c r="I10" s="153">
        <f t="shared" si="2"/>
        <v>381.20886657002086</v>
      </c>
      <c r="J10" s="17"/>
      <c r="K10" s="153">
        <f t="shared" si="3"/>
        <v>572.4</v>
      </c>
      <c r="L10" s="169">
        <f t="shared" si="4"/>
        <v>191.19113342997912</v>
      </c>
      <c r="M10" s="169">
        <f t="shared" si="5"/>
        <v>381.20886657002086</v>
      </c>
      <c r="N10" s="170">
        <f t="shared" si="0"/>
        <v>0.66598334481135724</v>
      </c>
      <c r="O10" s="152">
        <f t="shared" si="6"/>
        <v>719262.01239626575</v>
      </c>
    </row>
    <row r="11" spans="1:15" x14ac:dyDescent="0.2">
      <c r="A11" s="128">
        <v>8</v>
      </c>
      <c r="B11" s="122" t="s">
        <v>171</v>
      </c>
      <c r="C11" s="159">
        <f>'System Consumption'!B10</f>
        <v>359655.77364092297</v>
      </c>
      <c r="D11" s="122">
        <v>5.2999999999999998E-4</v>
      </c>
      <c r="E11" s="122" t="s">
        <v>172</v>
      </c>
      <c r="F11" s="157">
        <f t="shared" si="7"/>
        <v>190.61756002968917</v>
      </c>
      <c r="G11" s="158">
        <f t="shared" si="8"/>
        <v>0.6669853947769232</v>
      </c>
      <c r="H11" s="159">
        <f t="shared" si="1"/>
        <v>720344.22635907703</v>
      </c>
      <c r="I11" s="157">
        <f t="shared" si="2"/>
        <v>381.7824399703108</v>
      </c>
      <c r="J11" s="107"/>
      <c r="K11" s="157">
        <f t="shared" si="3"/>
        <v>572.4</v>
      </c>
      <c r="L11" s="171">
        <f t="shared" si="4"/>
        <v>190.61756002968917</v>
      </c>
      <c r="M11" s="171">
        <f t="shared" si="5"/>
        <v>381.7824399703108</v>
      </c>
      <c r="N11" s="172">
        <f t="shared" si="0"/>
        <v>0.6669853947769232</v>
      </c>
      <c r="O11" s="156">
        <f t="shared" si="6"/>
        <v>720344.22635907703</v>
      </c>
    </row>
    <row r="12" spans="1:15" x14ac:dyDescent="0.2">
      <c r="A12" s="126">
        <v>9</v>
      </c>
      <c r="B12" s="151" t="s">
        <v>173</v>
      </c>
      <c r="C12" s="155">
        <f>'System Consumption'!B11</f>
        <v>358576.80632000021</v>
      </c>
      <c r="D12" s="124">
        <v>5.2999999999999998E-4</v>
      </c>
      <c r="E12" s="124" t="s">
        <v>174</v>
      </c>
      <c r="F12" s="153">
        <f t="shared" si="7"/>
        <v>190.04570734960009</v>
      </c>
      <c r="G12" s="154">
        <f t="shared" si="8"/>
        <v>0.66798443859259238</v>
      </c>
      <c r="H12" s="155">
        <f t="shared" si="1"/>
        <v>721423.19367999979</v>
      </c>
      <c r="I12" s="153">
        <f t="shared" si="2"/>
        <v>382.35429265039988</v>
      </c>
      <c r="J12" s="17"/>
      <c r="K12" s="153">
        <f t="shared" si="3"/>
        <v>572.4</v>
      </c>
      <c r="L12" s="169">
        <f t="shared" si="4"/>
        <v>190.04570734960009</v>
      </c>
      <c r="M12" s="169">
        <f t="shared" si="5"/>
        <v>382.35429265039988</v>
      </c>
      <c r="N12" s="170">
        <f t="shared" si="0"/>
        <v>0.66798443859259238</v>
      </c>
      <c r="O12" s="152">
        <f t="shared" si="6"/>
        <v>721423.19367999979</v>
      </c>
    </row>
    <row r="13" spans="1:15" x14ac:dyDescent="0.2">
      <c r="A13" s="128">
        <v>10</v>
      </c>
      <c r="B13" s="122" t="s">
        <v>175</v>
      </c>
      <c r="C13" s="159">
        <f>'System Consumption'!B12</f>
        <v>357501.07590104023</v>
      </c>
      <c r="D13" s="122">
        <v>5.2999999999999998E-4</v>
      </c>
      <c r="E13" s="122" t="s">
        <v>176</v>
      </c>
      <c r="F13" s="157">
        <f t="shared" si="7"/>
        <v>189.47557022755132</v>
      </c>
      <c r="G13" s="158">
        <f t="shared" si="8"/>
        <v>0.66898048527681464</v>
      </c>
      <c r="H13" s="159">
        <f t="shared" si="1"/>
        <v>722498.92409895977</v>
      </c>
      <c r="I13" s="157">
        <f t="shared" si="2"/>
        <v>382.92442977244866</v>
      </c>
      <c r="J13" s="107"/>
      <c r="K13" s="157">
        <f t="shared" si="3"/>
        <v>572.4</v>
      </c>
      <c r="L13" s="171">
        <f t="shared" si="4"/>
        <v>189.47557022755132</v>
      </c>
      <c r="M13" s="171">
        <f t="shared" si="5"/>
        <v>382.92442977244866</v>
      </c>
      <c r="N13" s="172">
        <f t="shared" si="0"/>
        <v>0.66898048527681464</v>
      </c>
      <c r="O13" s="156">
        <f t="shared" si="6"/>
        <v>722498.92409895977</v>
      </c>
    </row>
    <row r="14" spans="1:15" x14ac:dyDescent="0.2">
      <c r="A14" s="126">
        <v>11</v>
      </c>
      <c r="B14" s="151" t="s">
        <v>177</v>
      </c>
      <c r="C14" s="155">
        <f>'System Consumption'!B13</f>
        <v>356428.57267333713</v>
      </c>
      <c r="D14" s="124">
        <v>5.2999999999999998E-4</v>
      </c>
      <c r="E14" s="124" t="s">
        <v>178</v>
      </c>
      <c r="F14" s="153">
        <f t="shared" si="7"/>
        <v>188.90714351686867</v>
      </c>
      <c r="G14" s="154">
        <f t="shared" si="8"/>
        <v>0.66997354382098406</v>
      </c>
      <c r="H14" s="155">
        <f t="shared" si="1"/>
        <v>723571.42732666293</v>
      </c>
      <c r="I14" s="153">
        <f t="shared" si="2"/>
        <v>383.49285648313133</v>
      </c>
      <c r="J14" s="17"/>
      <c r="K14" s="153">
        <f t="shared" si="3"/>
        <v>572.4</v>
      </c>
      <c r="L14" s="169">
        <f t="shared" si="4"/>
        <v>188.90714351686867</v>
      </c>
      <c r="M14" s="169">
        <f t="shared" si="5"/>
        <v>383.49285648313133</v>
      </c>
      <c r="N14" s="170">
        <f t="shared" si="0"/>
        <v>0.66997354382098406</v>
      </c>
      <c r="O14" s="152">
        <f t="shared" si="6"/>
        <v>723571.42732666293</v>
      </c>
    </row>
    <row r="15" spans="1:15" x14ac:dyDescent="0.2">
      <c r="A15" s="128">
        <v>12</v>
      </c>
      <c r="B15" s="122" t="s">
        <v>179</v>
      </c>
      <c r="C15" s="159">
        <f>'System Consumption'!B14</f>
        <v>355359.28695531713</v>
      </c>
      <c r="D15" s="122">
        <v>5.2999999999999998E-4</v>
      </c>
      <c r="E15" s="122" t="s">
        <v>180</v>
      </c>
      <c r="F15" s="157">
        <f t="shared" si="7"/>
        <v>188.34042208631809</v>
      </c>
      <c r="G15" s="158">
        <f t="shared" si="8"/>
        <v>0.67096362318952119</v>
      </c>
      <c r="H15" s="159">
        <f t="shared" si="1"/>
        <v>724640.71304468287</v>
      </c>
      <c r="I15" s="157">
        <f t="shared" si="2"/>
        <v>384.05957791368189</v>
      </c>
      <c r="J15" s="107"/>
      <c r="K15" s="157">
        <f t="shared" si="3"/>
        <v>572.4</v>
      </c>
      <c r="L15" s="171">
        <f t="shared" si="4"/>
        <v>188.34042208631809</v>
      </c>
      <c r="M15" s="171">
        <f t="shared" si="5"/>
        <v>384.05957791368189</v>
      </c>
      <c r="N15" s="172">
        <f t="shared" si="0"/>
        <v>0.67096362318952119</v>
      </c>
      <c r="O15" s="156">
        <f t="shared" si="6"/>
        <v>724640.71304468287</v>
      </c>
    </row>
    <row r="16" spans="1:15" x14ac:dyDescent="0.2">
      <c r="A16" s="126">
        <v>13</v>
      </c>
      <c r="B16" s="151" t="s">
        <v>181</v>
      </c>
      <c r="C16" s="155">
        <f>'System Consumption'!B15</f>
        <v>354293.20909445116</v>
      </c>
      <c r="D16" s="124">
        <v>5.2999999999999998E-4</v>
      </c>
      <c r="E16" s="124" t="s">
        <v>182</v>
      </c>
      <c r="F16" s="153">
        <f t="shared" si="7"/>
        <v>187.7754008200591</v>
      </c>
      <c r="G16" s="154">
        <f t="shared" si="8"/>
        <v>0.67195073231995273</v>
      </c>
      <c r="H16" s="155">
        <f t="shared" si="1"/>
        <v>725706.79090554884</v>
      </c>
      <c r="I16" s="153">
        <f t="shared" si="2"/>
        <v>384.62459917994084</v>
      </c>
      <c r="J16" s="17"/>
      <c r="K16" s="153">
        <f t="shared" si="3"/>
        <v>572.4</v>
      </c>
      <c r="L16" s="169">
        <f t="shared" si="4"/>
        <v>187.7754008200591</v>
      </c>
      <c r="M16" s="169">
        <f t="shared" si="5"/>
        <v>384.62459917994084</v>
      </c>
      <c r="N16" s="170">
        <f t="shared" si="0"/>
        <v>0.67195073231995273</v>
      </c>
      <c r="O16" s="152">
        <f t="shared" si="6"/>
        <v>725706.79090554884</v>
      </c>
    </row>
    <row r="17" spans="1:15" x14ac:dyDescent="0.2">
      <c r="A17" s="128">
        <v>14</v>
      </c>
      <c r="B17" s="122" t="s">
        <v>211</v>
      </c>
      <c r="C17" s="160">
        <f>'System Consumption'!B16</f>
        <v>353230.32946716779</v>
      </c>
      <c r="D17" s="161">
        <v>5.2999999999999998E-4</v>
      </c>
      <c r="E17" s="122" t="s">
        <v>212</v>
      </c>
      <c r="F17" s="162">
        <f>C17*D17</f>
        <v>187.21207461759892</v>
      </c>
      <c r="G17" s="158">
        <f>($F$3-F17)/$F$3</f>
        <v>0.67293488012299285</v>
      </c>
      <c r="H17" s="163">
        <f>$C$3-C17</f>
        <v>726769.67053283216</v>
      </c>
      <c r="I17" s="163">
        <f>H17*D17</f>
        <v>385.18792538240103</v>
      </c>
      <c r="J17" s="107"/>
      <c r="K17" s="163">
        <f>$C$3*$D$3</f>
        <v>572.4</v>
      </c>
      <c r="L17" s="173">
        <f>F17</f>
        <v>187.21207461759892</v>
      </c>
      <c r="M17" s="173">
        <f>I17</f>
        <v>385.18792538240103</v>
      </c>
      <c r="N17" s="172">
        <f>G17</f>
        <v>0.67293488012299285</v>
      </c>
      <c r="O17" s="174">
        <f>H17</f>
        <v>726769.67053283216</v>
      </c>
    </row>
    <row r="18" spans="1:15" x14ac:dyDescent="0.2">
      <c r="A18" s="126">
        <v>15</v>
      </c>
      <c r="B18" s="151" t="s">
        <v>213</v>
      </c>
      <c r="C18" s="164">
        <f>'System Consumption'!B17</f>
        <v>352170.63847876625</v>
      </c>
      <c r="D18" s="165">
        <v>5.2999999999999998E-4</v>
      </c>
      <c r="E18" s="124" t="s">
        <v>214</v>
      </c>
      <c r="F18" s="166">
        <f>C18*D18</f>
        <v>186.6504383937461</v>
      </c>
      <c r="G18" s="154">
        <f>($F$3-F18)/$F$3</f>
        <v>0.67391607548262389</v>
      </c>
      <c r="H18" s="167">
        <f>$C$3-C18</f>
        <v>727829.3615212338</v>
      </c>
      <c r="I18" s="167">
        <f>H18*D18</f>
        <v>385.74956160625391</v>
      </c>
      <c r="J18" s="17"/>
      <c r="K18" s="167">
        <f>$C$3*$D$3</f>
        <v>572.4</v>
      </c>
      <c r="L18" s="175">
        <f>F18</f>
        <v>186.6504383937461</v>
      </c>
      <c r="M18" s="175">
        <f>I18</f>
        <v>385.74956160625391</v>
      </c>
      <c r="N18" s="170">
        <f>G18</f>
        <v>0.67391607548262389</v>
      </c>
      <c r="O18" s="176">
        <f>H18</f>
        <v>727829.3615212338</v>
      </c>
    </row>
    <row r="19" spans="1:15" x14ac:dyDescent="0.2">
      <c r="A19" s="130" t="s">
        <v>215</v>
      </c>
      <c r="B19" s="130"/>
      <c r="C19" s="168"/>
      <c r="D19" s="168"/>
      <c r="E19" s="168"/>
      <c r="F19" s="168"/>
      <c r="G19" s="168"/>
      <c r="H19" s="168"/>
      <c r="I19" s="168"/>
      <c r="J19" s="119"/>
      <c r="K19" s="177">
        <f>SUM(K4:K18)</f>
        <v>8585.9999999999982</v>
      </c>
      <c r="L19" s="177">
        <f>SUM(L4:L18)</f>
        <v>2859.5043071450273</v>
      </c>
      <c r="M19" s="177">
        <f>K19-L19</f>
        <v>5726.4956928549709</v>
      </c>
      <c r="N19" s="178">
        <f>M19/K19</f>
        <v>0.66695733669403356</v>
      </c>
      <c r="O19" s="179">
        <f>SUM(O4:O18)</f>
        <v>10804708.854443341</v>
      </c>
    </row>
  </sheetData>
  <mergeCells count="3">
    <mergeCell ref="A1:B1"/>
    <mergeCell ref="M1:O1"/>
    <mergeCell ref="C1:L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D17D-5F8D-43FC-8F2E-143244B76C4F}">
  <dimension ref="A1:M8"/>
  <sheetViews>
    <sheetView tabSelected="1" zoomScale="88" zoomScaleNormal="70" workbookViewId="0">
      <selection sqref="A1:B1"/>
    </sheetView>
  </sheetViews>
  <sheetFormatPr baseColWidth="10" defaultColWidth="8.83203125" defaultRowHeight="15" x14ac:dyDescent="0.2"/>
  <cols>
    <col min="2" max="4" width="24.1640625" customWidth="1"/>
  </cols>
  <sheetData>
    <row r="1" spans="1:13" s="2" customFormat="1" ht="22" x14ac:dyDescent="0.2">
      <c r="A1" s="200" t="s">
        <v>5</v>
      </c>
      <c r="B1" s="201"/>
      <c r="C1" s="200" t="s">
        <v>6</v>
      </c>
      <c r="D1" s="202"/>
      <c r="E1" s="202"/>
      <c r="F1" s="202"/>
      <c r="G1" s="202"/>
      <c r="H1" s="202"/>
      <c r="I1" s="203" t="s">
        <v>7</v>
      </c>
      <c r="J1" s="203"/>
      <c r="K1" s="203"/>
      <c r="L1"/>
      <c r="M1"/>
    </row>
    <row r="2" spans="1:13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3" x14ac:dyDescent="0.2">
      <c r="A3" s="15"/>
      <c r="B3" s="120" t="s">
        <v>112</v>
      </c>
      <c r="C3" s="120" t="s">
        <v>125</v>
      </c>
      <c r="D3" s="120" t="s">
        <v>127</v>
      </c>
      <c r="E3" s="15"/>
      <c r="F3" s="15"/>
      <c r="G3" s="15"/>
      <c r="H3" s="15"/>
      <c r="I3" s="15"/>
      <c r="J3" s="15"/>
      <c r="K3" s="15"/>
    </row>
    <row r="4" spans="1:13" x14ac:dyDescent="0.2">
      <c r="A4" s="15"/>
      <c r="B4" s="180" t="s">
        <v>183</v>
      </c>
      <c r="C4" s="181">
        <f>+'Energy Price'!C7</f>
        <v>79344.923076923063</v>
      </c>
      <c r="D4" s="181">
        <f>+'Energy Price'!F7</f>
        <v>26984.620598290592</v>
      </c>
      <c r="E4" s="15"/>
      <c r="F4" s="15"/>
      <c r="G4" s="15"/>
      <c r="H4" s="15"/>
      <c r="I4" s="15"/>
      <c r="J4" s="15"/>
      <c r="K4" s="15"/>
    </row>
    <row r="5" spans="1:13" x14ac:dyDescent="0.2">
      <c r="A5" s="15"/>
      <c r="B5" s="180" t="s">
        <v>184</v>
      </c>
      <c r="C5" s="181">
        <f>+'General Data'!C31</f>
        <v>22222.222222222223</v>
      </c>
      <c r="D5" s="181"/>
      <c r="E5" s="15"/>
      <c r="F5" s="15"/>
      <c r="G5" s="15"/>
      <c r="H5" s="15"/>
      <c r="I5" s="15"/>
      <c r="J5" s="15"/>
      <c r="K5" s="15"/>
    </row>
    <row r="6" spans="1:13" x14ac:dyDescent="0.2">
      <c r="A6" s="15"/>
      <c r="B6" s="180" t="s">
        <v>185</v>
      </c>
      <c r="C6" s="181"/>
      <c r="D6" s="181">
        <f>+'General Data'!B47</f>
        <v>18000</v>
      </c>
      <c r="E6" s="15"/>
      <c r="F6" s="15"/>
      <c r="G6" s="15"/>
      <c r="H6" s="15"/>
      <c r="I6" s="15"/>
      <c r="J6" s="15"/>
      <c r="K6" s="15"/>
    </row>
    <row r="7" spans="1:13" x14ac:dyDescent="0.2">
      <c r="A7" s="15"/>
      <c r="B7" s="130" t="s">
        <v>186</v>
      </c>
      <c r="C7" s="182">
        <f>SUM(C4:C6)</f>
        <v>101567.14529914528</v>
      </c>
      <c r="D7" s="182">
        <f>SUM(D4:D6)</f>
        <v>44984.620598290596</v>
      </c>
      <c r="E7" s="15"/>
      <c r="F7" s="15"/>
      <c r="G7" s="15"/>
      <c r="H7" s="15"/>
      <c r="I7" s="15"/>
      <c r="J7" s="15"/>
      <c r="K7" s="15"/>
    </row>
    <row r="8" spans="1:13" x14ac:dyDescent="0.2">
      <c r="A8" s="15"/>
      <c r="B8" s="130" t="s">
        <v>187</v>
      </c>
      <c r="C8" s="182"/>
      <c r="D8" s="183">
        <f>+C7-D7</f>
        <v>56582.524700854687</v>
      </c>
      <c r="E8" s="15"/>
      <c r="F8" s="15"/>
      <c r="G8" s="15"/>
      <c r="H8" s="15"/>
      <c r="I8" s="15"/>
      <c r="J8" s="15"/>
      <c r="K8" s="15"/>
    </row>
  </sheetData>
  <mergeCells count="3">
    <mergeCell ref="A1:B1"/>
    <mergeCell ref="C1:H1"/>
    <mergeCell ref="I1:K1"/>
  </mergeCells>
  <pageMargins left="0.7" right="0.7" top="0.75" bottom="0.75" header="0.3" footer="0.3"/>
  <pageSetup paperSize="9" scale="95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799C-9BA4-4B44-99A7-74084846B3EC}">
  <dimension ref="A1:O21"/>
  <sheetViews>
    <sheetView zoomScale="75" zoomScaleNormal="70" workbookViewId="0">
      <selection activeCell="F21" sqref="F21"/>
    </sheetView>
  </sheetViews>
  <sheetFormatPr baseColWidth="10" defaultColWidth="8.83203125" defaultRowHeight="15" x14ac:dyDescent="0.2"/>
  <cols>
    <col min="1" max="1" width="30.5" bestFit="1" customWidth="1"/>
    <col min="2" max="9" width="22.5" customWidth="1"/>
  </cols>
  <sheetData>
    <row r="1" spans="1:15" s="2" customFormat="1" ht="22" x14ac:dyDescent="0.2">
      <c r="A1" s="200" t="s">
        <v>5</v>
      </c>
      <c r="B1" s="201"/>
      <c r="C1" s="203" t="s">
        <v>6</v>
      </c>
      <c r="D1" s="203"/>
      <c r="E1" s="203"/>
      <c r="F1" s="203"/>
      <c r="G1" s="203"/>
      <c r="H1" s="203"/>
      <c r="I1" s="203"/>
      <c r="J1" s="203"/>
      <c r="K1" s="203"/>
      <c r="L1" s="203"/>
      <c r="M1" s="203" t="s">
        <v>7</v>
      </c>
      <c r="N1" s="203"/>
      <c r="O1" s="203"/>
    </row>
    <row r="2" spans="1:15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">
      <c r="A3" s="96" t="s">
        <v>29</v>
      </c>
      <c r="B3" s="97">
        <f>+'General Data'!B28</f>
        <v>1080000</v>
      </c>
      <c r="C3" s="15"/>
      <c r="D3" s="42"/>
      <c r="E3" s="42"/>
      <c r="F3" s="15"/>
      <c r="G3" s="88"/>
      <c r="H3" s="15"/>
      <c r="I3" s="15"/>
      <c r="J3" s="15"/>
      <c r="K3" s="15"/>
      <c r="L3" s="15"/>
      <c r="M3" s="15"/>
      <c r="N3" s="15"/>
      <c r="O3" s="15"/>
    </row>
    <row r="4" spans="1:15" x14ac:dyDescent="0.2">
      <c r="A4" s="47" t="s">
        <v>122</v>
      </c>
      <c r="B4" s="33">
        <f>+'General Data'!B33</f>
        <v>8.1999999999999993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">
      <c r="A5" s="125" t="s">
        <v>123</v>
      </c>
      <c r="B5" s="125">
        <f>+'General Data'!B37</f>
        <v>117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">
      <c r="A6" s="120" t="s">
        <v>119</v>
      </c>
      <c r="B6" s="120" t="s">
        <v>124</v>
      </c>
      <c r="C6" s="120" t="s">
        <v>125</v>
      </c>
      <c r="D6" s="120" t="s">
        <v>126</v>
      </c>
      <c r="E6" s="120" t="s">
        <v>1</v>
      </c>
      <c r="F6" s="120" t="s">
        <v>127</v>
      </c>
      <c r="G6" s="120" t="s">
        <v>210</v>
      </c>
      <c r="H6" s="120" t="s">
        <v>128</v>
      </c>
      <c r="I6" s="120" t="s">
        <v>129</v>
      </c>
      <c r="J6" s="15"/>
      <c r="K6" s="15"/>
      <c r="L6" s="15"/>
      <c r="M6" s="15"/>
      <c r="N6" s="15"/>
      <c r="O6" s="15"/>
    </row>
    <row r="7" spans="1:15" x14ac:dyDescent="0.2">
      <c r="A7" s="142" t="s">
        <v>130</v>
      </c>
      <c r="B7" s="184">
        <f>+'General Data'!C30</f>
        <v>73504.2735042735</v>
      </c>
      <c r="C7" s="184">
        <f>+$B$3*H7/$B$5</f>
        <v>79344.923076923063</v>
      </c>
      <c r="D7" s="184">
        <f>+C7-B7</f>
        <v>5840.6495726495632</v>
      </c>
      <c r="E7" s="185">
        <f>(C7-B7)/B7</f>
        <v>7.9459999999999878E-2</v>
      </c>
      <c r="F7" s="184">
        <f>'System Consumption'!B3*H7/$B$5</f>
        <v>26984.620598290592</v>
      </c>
      <c r="G7" s="185">
        <f>+(B7-F7)/B7</f>
        <v>0.63288365000000002</v>
      </c>
      <c r="H7" s="186">
        <f>+(5.08+2.808+0.093+0.015)*1.075</f>
        <v>8.595699999999999</v>
      </c>
      <c r="I7" s="185">
        <f>+(H7-B4)/B4</f>
        <v>4.8256097560975576E-2</v>
      </c>
      <c r="J7" s="15"/>
      <c r="K7" s="15"/>
      <c r="L7" s="15"/>
      <c r="M7" s="15"/>
      <c r="N7" s="15"/>
      <c r="O7" s="15"/>
    </row>
    <row r="8" spans="1:15" x14ac:dyDescent="0.2">
      <c r="A8" s="145" t="s">
        <v>131</v>
      </c>
      <c r="B8" s="187">
        <f>+B7</f>
        <v>73504.2735042735</v>
      </c>
      <c r="C8" s="187">
        <f>+$B$3*H8/$B$5</f>
        <v>81328.546153846139</v>
      </c>
      <c r="D8" s="187">
        <f t="shared" ref="D8:D21" si="0">+C8-B8</f>
        <v>7824.2726495726383</v>
      </c>
      <c r="E8" s="188">
        <f t="shared" ref="E8:E21" si="1">(C8-B8)/B8</f>
        <v>0.10644649999999985</v>
      </c>
      <c r="F8" s="187">
        <f>'System Consumption'!B4*H8/$B$5</f>
        <v>27576.258404908112</v>
      </c>
      <c r="G8" s="188">
        <f>+(B8-F8)/B8</f>
        <v>0.62483462402625012</v>
      </c>
      <c r="H8" s="189">
        <f t="shared" ref="H8:H21" si="2">H7*1.025</f>
        <v>8.8105924999999985</v>
      </c>
      <c r="I8" s="188">
        <f t="shared" ref="I8:I21" si="3">(H8-$B$4)/$B$4</f>
        <v>7.4462499999999904E-2</v>
      </c>
      <c r="J8" s="15"/>
      <c r="K8" s="15"/>
      <c r="L8" s="15"/>
      <c r="M8" s="15"/>
      <c r="N8" s="15"/>
      <c r="O8" s="15"/>
    </row>
    <row r="9" spans="1:15" x14ac:dyDescent="0.2">
      <c r="A9" s="142" t="s">
        <v>132</v>
      </c>
      <c r="B9" s="184">
        <f t="shared" ref="B9:B21" si="4">+B8</f>
        <v>73504.2735042735</v>
      </c>
      <c r="C9" s="184">
        <f t="shared" ref="C9:C21" si="5">+$B$3*H9/$B$5</f>
        <v>83361.759807692302</v>
      </c>
      <c r="D9" s="184">
        <f t="shared" si="0"/>
        <v>9857.486303418802</v>
      </c>
      <c r="E9" s="185">
        <f t="shared" si="1"/>
        <v>0.13410766249999997</v>
      </c>
      <c r="F9" s="143">
        <f>'System Consumption'!B5*H9/$B$5</f>
        <v>28180.867870435723</v>
      </c>
      <c r="G9" s="185">
        <f t="shared" ref="G9:G21" si="6">+(B9-F9)/B9</f>
        <v>0.61660912315802563</v>
      </c>
      <c r="H9" s="186">
        <f t="shared" si="2"/>
        <v>9.0308573124999985</v>
      </c>
      <c r="I9" s="190">
        <f t="shared" si="3"/>
        <v>0.10132406249999991</v>
      </c>
      <c r="J9" s="15"/>
      <c r="K9" s="15"/>
      <c r="L9" s="15"/>
      <c r="M9" s="15"/>
      <c r="N9" s="15"/>
      <c r="O9" s="15"/>
    </row>
    <row r="10" spans="1:15" x14ac:dyDescent="0.2">
      <c r="A10" s="145" t="s">
        <v>133</v>
      </c>
      <c r="B10" s="187">
        <f t="shared" si="4"/>
        <v>73504.2735042735</v>
      </c>
      <c r="C10" s="187">
        <f t="shared" si="5"/>
        <v>85445.803802884591</v>
      </c>
      <c r="D10" s="187">
        <f t="shared" si="0"/>
        <v>11941.530298611091</v>
      </c>
      <c r="E10" s="188">
        <f t="shared" si="1"/>
        <v>0.16246035406249973</v>
      </c>
      <c r="F10" s="146">
        <f>'System Consumption'!B6*H10/$B$5</f>
        <v>28798.733398495024</v>
      </c>
      <c r="G10" s="188">
        <f t="shared" si="6"/>
        <v>0.60820327818326536</v>
      </c>
      <c r="H10" s="189">
        <f t="shared" si="2"/>
        <v>9.2566287453124971</v>
      </c>
      <c r="I10" s="191">
        <f t="shared" si="3"/>
        <v>0.12885716406249975</v>
      </c>
      <c r="J10" s="15"/>
      <c r="K10" s="15"/>
      <c r="L10" s="15"/>
      <c r="M10" s="15"/>
      <c r="N10" s="15"/>
      <c r="O10" s="15"/>
    </row>
    <row r="11" spans="1:15" x14ac:dyDescent="0.2">
      <c r="A11" s="142" t="s">
        <v>134</v>
      </c>
      <c r="B11" s="184">
        <f t="shared" si="4"/>
        <v>73504.2735042735</v>
      </c>
      <c r="C11" s="184">
        <f t="shared" si="5"/>
        <v>87581.94889795671</v>
      </c>
      <c r="D11" s="184">
        <f t="shared" si="0"/>
        <v>14077.67539368321</v>
      </c>
      <c r="E11" s="185">
        <f t="shared" si="1"/>
        <v>0.19152186291406229</v>
      </c>
      <c r="F11" s="143">
        <f>'System Consumption'!B7*H11/$B$5</f>
        <v>29430.145628257025</v>
      </c>
      <c r="G11" s="185">
        <f t="shared" si="6"/>
        <v>0.59961313505743341</v>
      </c>
      <c r="H11" s="186">
        <f t="shared" si="2"/>
        <v>9.4880444639453092</v>
      </c>
      <c r="I11" s="190">
        <f t="shared" si="3"/>
        <v>0.1570785931640622</v>
      </c>
      <c r="J11" s="15"/>
      <c r="K11" s="15"/>
      <c r="L11" s="15"/>
      <c r="M11" s="15"/>
      <c r="N11" s="15"/>
      <c r="O11" s="15"/>
    </row>
    <row r="12" spans="1:15" x14ac:dyDescent="0.2">
      <c r="A12" s="145" t="s">
        <v>135</v>
      </c>
      <c r="B12" s="187">
        <f t="shared" si="4"/>
        <v>73504.2735042735</v>
      </c>
      <c r="C12" s="187">
        <f t="shared" si="5"/>
        <v>89771.497620405615</v>
      </c>
      <c r="D12" s="187">
        <f t="shared" si="0"/>
        <v>16267.224116132114</v>
      </c>
      <c r="E12" s="188">
        <f t="shared" si="1"/>
        <v>0.22130990948691368</v>
      </c>
      <c r="F12" s="146">
        <f>'System Consumption'!B8*H12/$B$5</f>
        <v>30075.401571156555</v>
      </c>
      <c r="G12" s="188">
        <f t="shared" si="6"/>
        <v>0.59083465304356775</v>
      </c>
      <c r="H12" s="189">
        <f t="shared" si="2"/>
        <v>9.7252455755439406</v>
      </c>
      <c r="I12" s="191">
        <f t="shared" si="3"/>
        <v>0.18600555799316359</v>
      </c>
      <c r="J12" s="15"/>
      <c r="K12" s="15"/>
      <c r="L12" s="15"/>
      <c r="M12" s="15"/>
      <c r="N12" s="15"/>
      <c r="O12" s="15"/>
    </row>
    <row r="13" spans="1:15" x14ac:dyDescent="0.2">
      <c r="A13" s="142" t="s">
        <v>136</v>
      </c>
      <c r="B13" s="184">
        <f t="shared" si="4"/>
        <v>73504.2735042735</v>
      </c>
      <c r="C13" s="184">
        <f t="shared" si="5"/>
        <v>92015.785060915747</v>
      </c>
      <c r="D13" s="184">
        <f t="shared" si="0"/>
        <v>18511.511556642246</v>
      </c>
      <c r="E13" s="185">
        <f t="shared" si="1"/>
        <v>0.25184265722408639</v>
      </c>
      <c r="F13" s="143">
        <f>'System Consumption'!B9*H13/$B$5</f>
        <v>30734.804750604162</v>
      </c>
      <c r="G13" s="185">
        <f t="shared" si="6"/>
        <v>0.58186370281154798</v>
      </c>
      <c r="H13" s="186">
        <f t="shared" si="2"/>
        <v>9.9683767149325391</v>
      </c>
      <c r="I13" s="190">
        <f t="shared" si="3"/>
        <v>0.21565569694299266</v>
      </c>
      <c r="J13" s="15"/>
      <c r="K13" s="15"/>
      <c r="L13" s="15"/>
      <c r="M13" s="15"/>
      <c r="N13" s="15"/>
      <c r="O13" s="15"/>
    </row>
    <row r="14" spans="1:15" x14ac:dyDescent="0.2">
      <c r="A14" s="145" t="s">
        <v>137</v>
      </c>
      <c r="B14" s="187">
        <f t="shared" si="4"/>
        <v>73504.2735042735</v>
      </c>
      <c r="C14" s="187">
        <f t="shared" si="5"/>
        <v>94316.179687438649</v>
      </c>
      <c r="D14" s="187">
        <f t="shared" si="0"/>
        <v>20811.906183165149</v>
      </c>
      <c r="E14" s="188">
        <f t="shared" si="1"/>
        <v>0.28313872365468867</v>
      </c>
      <c r="F14" s="146">
        <f>'System Consumption'!B10*H14/$B$5</f>
        <v>31408.665344761153</v>
      </c>
      <c r="G14" s="188">
        <f t="shared" si="6"/>
        <v>0.57269606449569121</v>
      </c>
      <c r="H14" s="189">
        <f t="shared" si="2"/>
        <v>10.217586132805852</v>
      </c>
      <c r="I14" s="191">
        <f t="shared" si="3"/>
        <v>0.24604708936656747</v>
      </c>
      <c r="J14" s="15"/>
      <c r="K14" s="15"/>
      <c r="L14" s="15"/>
      <c r="M14" s="15"/>
      <c r="N14" s="15"/>
      <c r="O14" s="15"/>
    </row>
    <row r="15" spans="1:15" x14ac:dyDescent="0.2">
      <c r="A15" s="142" t="s">
        <v>138</v>
      </c>
      <c r="B15" s="184">
        <f t="shared" si="4"/>
        <v>73504.2735042735</v>
      </c>
      <c r="C15" s="184">
        <f t="shared" si="5"/>
        <v>96674.084179624595</v>
      </c>
      <c r="D15" s="184">
        <f t="shared" si="0"/>
        <v>23169.810675351095</v>
      </c>
      <c r="E15" s="185">
        <f t="shared" si="1"/>
        <v>0.31521719174605561</v>
      </c>
      <c r="F15" s="143">
        <f>'System Consumption'!B11*H15/$B$5</f>
        <v>32097.300332445044</v>
      </c>
      <c r="G15" s="185">
        <f t="shared" si="6"/>
        <v>0.56332742570975936</v>
      </c>
      <c r="H15" s="186">
        <f t="shared" si="2"/>
        <v>10.473025786125998</v>
      </c>
      <c r="I15" s="190">
        <f t="shared" si="3"/>
        <v>0.27719826660073155</v>
      </c>
      <c r="J15" s="15"/>
      <c r="K15" s="15"/>
      <c r="L15" s="15"/>
      <c r="M15" s="15"/>
      <c r="N15" s="15"/>
      <c r="O15" s="15"/>
    </row>
    <row r="16" spans="1:15" x14ac:dyDescent="0.2">
      <c r="A16" s="145" t="s">
        <v>139</v>
      </c>
      <c r="B16" s="187">
        <f t="shared" si="4"/>
        <v>73504.2735042735</v>
      </c>
      <c r="C16" s="187">
        <f t="shared" si="5"/>
        <v>99090.936284115203</v>
      </c>
      <c r="D16" s="187">
        <f t="shared" si="0"/>
        <v>25586.662779841703</v>
      </c>
      <c r="E16" s="188">
        <f t="shared" si="1"/>
        <v>0.34809762153970691</v>
      </c>
      <c r="F16" s="146">
        <f>'System Consumption'!B12*H16/$B$5</f>
        <v>32801.033642233895</v>
      </c>
      <c r="G16" s="188">
        <f t="shared" si="6"/>
        <v>0.55375337951844583</v>
      </c>
      <c r="H16" s="189">
        <f t="shared" si="2"/>
        <v>10.734851430779146</v>
      </c>
      <c r="I16" s="191">
        <f t="shared" si="3"/>
        <v>0.30912822326574968</v>
      </c>
      <c r="J16" s="15"/>
      <c r="K16" s="15"/>
      <c r="L16" s="15"/>
      <c r="M16" s="15"/>
      <c r="N16" s="15"/>
      <c r="O16" s="15"/>
    </row>
    <row r="17" spans="1:15" x14ac:dyDescent="0.2">
      <c r="A17" s="142" t="s">
        <v>140</v>
      </c>
      <c r="B17" s="184">
        <f t="shared" si="4"/>
        <v>73504.2735042735</v>
      </c>
      <c r="C17" s="184">
        <f t="shared" si="5"/>
        <v>101568.20969121806</v>
      </c>
      <c r="D17" s="184">
        <f t="shared" si="0"/>
        <v>28063.936186944557</v>
      </c>
      <c r="E17" s="185">
        <f t="shared" si="1"/>
        <v>0.38180006207819922</v>
      </c>
      <c r="F17" s="143">
        <f>'System Consumption'!B13*H17/$B$5</f>
        <v>33520.196304839876</v>
      </c>
      <c r="G17" s="185">
        <f t="shared" si="6"/>
        <v>0.54396942236438772</v>
      </c>
      <c r="H17" s="186">
        <f t="shared" si="2"/>
        <v>11.003222716548624</v>
      </c>
      <c r="I17" s="190">
        <f t="shared" si="3"/>
        <v>0.34185642884739331</v>
      </c>
      <c r="J17" s="15"/>
      <c r="K17" s="15"/>
      <c r="L17" s="15"/>
      <c r="M17" s="15"/>
      <c r="N17" s="15"/>
      <c r="O17" s="15"/>
    </row>
    <row r="18" spans="1:15" x14ac:dyDescent="0.2">
      <c r="A18" s="145" t="s">
        <v>141</v>
      </c>
      <c r="B18" s="187">
        <f t="shared" si="4"/>
        <v>73504.2735042735</v>
      </c>
      <c r="C18" s="187">
        <f t="shared" si="5"/>
        <v>104107.41493349851</v>
      </c>
      <c r="D18" s="187">
        <f t="shared" si="0"/>
        <v>30603.141429225012</v>
      </c>
      <c r="E18" s="188">
        <f t="shared" si="1"/>
        <v>0.41634506363015428</v>
      </c>
      <c r="F18" s="146">
        <f>'System Consumption'!B14*H18/$B$5</f>
        <v>34255.126608823492</v>
      </c>
      <c r="G18" s="188">
        <f t="shared" si="6"/>
        <v>0.53397095194972688</v>
      </c>
      <c r="H18" s="189">
        <f t="shared" si="2"/>
        <v>11.278303284462339</v>
      </c>
      <c r="I18" s="191">
        <f t="shared" si="3"/>
        <v>0.37540283956857806</v>
      </c>
      <c r="J18" s="15"/>
      <c r="K18" s="15"/>
      <c r="L18" s="15"/>
      <c r="M18" s="15"/>
      <c r="N18" s="15"/>
      <c r="O18" s="15"/>
    </row>
    <row r="19" spans="1:15" x14ac:dyDescent="0.2">
      <c r="A19" s="142" t="s">
        <v>142</v>
      </c>
      <c r="B19" s="184">
        <f t="shared" si="4"/>
        <v>73504.2735042735</v>
      </c>
      <c r="C19" s="184">
        <f t="shared" si="5"/>
        <v>106710.10030683597</v>
      </c>
      <c r="D19" s="184">
        <f t="shared" si="0"/>
        <v>33205.826802562471</v>
      </c>
      <c r="E19" s="185">
        <f t="shared" si="1"/>
        <v>0.45175369022090806</v>
      </c>
      <c r="F19" s="143">
        <f>'System Consumption'!B15*H19/$B$5</f>
        <v>35006.170259721941</v>
      </c>
      <c r="G19" s="185">
        <f t="shared" si="6"/>
        <v>0.52375326507122477</v>
      </c>
      <c r="H19" s="186">
        <f t="shared" si="2"/>
        <v>11.560260866573897</v>
      </c>
      <c r="I19" s="190">
        <f t="shared" si="3"/>
        <v>0.4097879105577924</v>
      </c>
      <c r="J19" s="15"/>
      <c r="K19" s="15"/>
      <c r="L19" s="15"/>
      <c r="M19" s="15"/>
      <c r="N19" s="15"/>
      <c r="O19" s="15"/>
    </row>
    <row r="20" spans="1:15" x14ac:dyDescent="0.2">
      <c r="A20" s="145" t="s">
        <v>143</v>
      </c>
      <c r="B20" s="187">
        <f t="shared" si="4"/>
        <v>73504.2735042735</v>
      </c>
      <c r="C20" s="187">
        <f t="shared" si="5"/>
        <v>109377.85281450686</v>
      </c>
      <c r="D20" s="187">
        <f t="shared" si="0"/>
        <v>35873.579310233355</v>
      </c>
      <c r="E20" s="188">
        <f t="shared" si="1"/>
        <v>0.48804753247643057</v>
      </c>
      <c r="F20" s="146">
        <f>'System Consumption'!B16*H20/$B$5</f>
        <v>35773.680542666334</v>
      </c>
      <c r="G20" s="188">
        <f t="shared" si="6"/>
        <v>0.51331155540791151</v>
      </c>
      <c r="H20" s="189">
        <f t="shared" si="2"/>
        <v>11.849267388238243</v>
      </c>
      <c r="I20" s="191">
        <f t="shared" si="3"/>
        <v>0.44503260832173702</v>
      </c>
      <c r="J20" s="15"/>
      <c r="K20" s="15"/>
      <c r="L20" s="15"/>
      <c r="M20" s="15"/>
      <c r="N20" s="15"/>
      <c r="O20" s="15"/>
    </row>
    <row r="21" spans="1:15" x14ac:dyDescent="0.2">
      <c r="A21" s="142" t="s">
        <v>144</v>
      </c>
      <c r="B21" s="184">
        <f t="shared" si="4"/>
        <v>73504.2735042735</v>
      </c>
      <c r="C21" s="184">
        <f t="shared" si="5"/>
        <v>112112.29913486951</v>
      </c>
      <c r="D21" s="184">
        <f t="shared" si="0"/>
        <v>38608.025630596007</v>
      </c>
      <c r="E21" s="185">
        <f t="shared" si="1"/>
        <v>0.52524872078834106</v>
      </c>
      <c r="F21" s="143">
        <f>'System Consumption'!B17*H21/$B$5</f>
        <v>36558.018488564288</v>
      </c>
      <c r="G21" s="185">
        <f t="shared" si="6"/>
        <v>0.50264091126023003</v>
      </c>
      <c r="H21" s="186">
        <f t="shared" si="2"/>
        <v>12.145499072944197</v>
      </c>
      <c r="I21" s="190">
        <f t="shared" si="3"/>
        <v>0.48115842352978028</v>
      </c>
      <c r="J21" s="15"/>
      <c r="K21" s="15"/>
      <c r="L21" s="15"/>
      <c r="M21" s="15"/>
      <c r="N21" s="15"/>
      <c r="O21" s="15"/>
    </row>
  </sheetData>
  <mergeCells count="3">
    <mergeCell ref="A1:B1"/>
    <mergeCell ref="C1:L1"/>
    <mergeCell ref="M1:O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385E-B7B2-5147-B186-9BC3A4355A2E}">
  <dimension ref="A1:M16"/>
  <sheetViews>
    <sheetView zoomScale="70" zoomScaleNormal="70" workbookViewId="0">
      <selection sqref="A1:B1"/>
    </sheetView>
  </sheetViews>
  <sheetFormatPr baseColWidth="10" defaultColWidth="8.83203125" defaultRowHeight="15" x14ac:dyDescent="0.2"/>
  <cols>
    <col min="1" max="1" width="4.83203125" bestFit="1" customWidth="1"/>
    <col min="2" max="8" width="18.33203125" customWidth="1"/>
  </cols>
  <sheetData>
    <row r="1" spans="1:13" s="2" customFormat="1" ht="22" x14ac:dyDescent="0.2">
      <c r="A1" s="200" t="s">
        <v>5</v>
      </c>
      <c r="B1" s="201"/>
      <c r="C1" s="200" t="s">
        <v>6</v>
      </c>
      <c r="D1" s="202"/>
      <c r="E1" s="202"/>
      <c r="F1" s="202"/>
      <c r="G1" s="202"/>
      <c r="H1" s="202"/>
      <c r="I1" s="203" t="s">
        <v>7</v>
      </c>
      <c r="J1" s="203"/>
      <c r="K1" s="203"/>
      <c r="L1"/>
      <c r="M1"/>
    </row>
    <row r="2" spans="1:13" x14ac:dyDescent="0.2">
      <c r="A2" s="206" t="s">
        <v>112</v>
      </c>
      <c r="B2" s="206"/>
      <c r="C2" s="206"/>
      <c r="D2" s="206"/>
      <c r="E2" s="206"/>
      <c r="F2" s="206"/>
      <c r="G2" s="206"/>
      <c r="H2" s="206"/>
      <c r="I2" s="15"/>
      <c r="J2" s="15"/>
      <c r="K2" s="15"/>
    </row>
    <row r="3" spans="1:13" x14ac:dyDescent="0.2">
      <c r="A3" s="120" t="s">
        <v>99</v>
      </c>
      <c r="B3" s="120" t="s">
        <v>85</v>
      </c>
      <c r="C3" s="120" t="s">
        <v>113</v>
      </c>
      <c r="D3" s="120" t="s">
        <v>114</v>
      </c>
      <c r="E3" s="120" t="s">
        <v>115</v>
      </c>
      <c r="F3" s="120" t="s">
        <v>116</v>
      </c>
      <c r="G3" s="120" t="s">
        <v>117</v>
      </c>
      <c r="H3" s="120" t="s">
        <v>118</v>
      </c>
      <c r="I3" s="15"/>
      <c r="J3" s="15"/>
      <c r="K3" s="15"/>
    </row>
    <row r="4" spans="1:13" x14ac:dyDescent="0.2">
      <c r="A4" s="142">
        <v>1</v>
      </c>
      <c r="B4" s="192" t="s">
        <v>63</v>
      </c>
      <c r="C4" s="193">
        <v>5.08</v>
      </c>
      <c r="D4" s="193">
        <v>2.8079999999999998</v>
      </c>
      <c r="E4" s="193">
        <v>9.2999999999999999E-2</v>
      </c>
      <c r="F4" s="193">
        <v>1.4999999999999999E-2</v>
      </c>
      <c r="G4" s="193">
        <v>1.075</v>
      </c>
      <c r="H4" s="194">
        <f>+(C4+D4+E4+F4)*G4</f>
        <v>8.595699999999999</v>
      </c>
      <c r="I4" s="15"/>
      <c r="J4" s="15"/>
      <c r="K4" s="15"/>
    </row>
    <row r="5" spans="1:13" x14ac:dyDescent="0.2">
      <c r="A5" s="145">
        <v>1</v>
      </c>
      <c r="B5" s="195" t="s">
        <v>64</v>
      </c>
      <c r="C5" s="193">
        <v>5.08</v>
      </c>
      <c r="D5" s="193">
        <v>2.8079999999999998</v>
      </c>
      <c r="E5" s="193">
        <v>9.2999999999999999E-2</v>
      </c>
      <c r="F5" s="193">
        <v>1.4999999999999999E-2</v>
      </c>
      <c r="G5" s="193">
        <v>1.075</v>
      </c>
      <c r="H5" s="196">
        <f t="shared" ref="H5:H15" si="0">+(C5+D5+E5+F5)*G5</f>
        <v>8.595699999999999</v>
      </c>
      <c r="I5" s="15"/>
      <c r="J5" s="15"/>
      <c r="K5" s="15"/>
    </row>
    <row r="6" spans="1:13" x14ac:dyDescent="0.2">
      <c r="A6" s="142">
        <v>1</v>
      </c>
      <c r="B6" s="192" t="s">
        <v>65</v>
      </c>
      <c r="C6" s="193">
        <v>5.08</v>
      </c>
      <c r="D6" s="193">
        <v>2.8079999999999998</v>
      </c>
      <c r="E6" s="193">
        <v>9.2999999999999999E-2</v>
      </c>
      <c r="F6" s="193">
        <v>1.4999999999999999E-2</v>
      </c>
      <c r="G6" s="193">
        <v>1.075</v>
      </c>
      <c r="H6" s="194">
        <f t="shared" si="0"/>
        <v>8.595699999999999</v>
      </c>
      <c r="I6" s="15"/>
      <c r="J6" s="15"/>
      <c r="K6" s="15"/>
    </row>
    <row r="7" spans="1:13" x14ac:dyDescent="0.2">
      <c r="A7" s="145">
        <v>1</v>
      </c>
      <c r="B7" s="195" t="s">
        <v>4</v>
      </c>
      <c r="C7" s="193">
        <v>5.08</v>
      </c>
      <c r="D7" s="193">
        <v>2.8079999999999998</v>
      </c>
      <c r="E7" s="193">
        <v>9.2999999999999999E-2</v>
      </c>
      <c r="F7" s="193">
        <v>1.4999999999999999E-2</v>
      </c>
      <c r="G7" s="193">
        <v>1.075</v>
      </c>
      <c r="H7" s="196">
        <f t="shared" si="0"/>
        <v>8.595699999999999</v>
      </c>
      <c r="I7" s="15"/>
      <c r="J7" s="15"/>
      <c r="K7" s="15"/>
    </row>
    <row r="8" spans="1:13" x14ac:dyDescent="0.2">
      <c r="A8" s="142">
        <v>1</v>
      </c>
      <c r="B8" s="192" t="s">
        <v>66</v>
      </c>
      <c r="C8" s="193">
        <v>5.08</v>
      </c>
      <c r="D8" s="193">
        <v>2.8079999999999998</v>
      </c>
      <c r="E8" s="193">
        <v>9.2999999999999999E-2</v>
      </c>
      <c r="F8" s="193">
        <v>1.4999999999999999E-2</v>
      </c>
      <c r="G8" s="193">
        <v>1.075</v>
      </c>
      <c r="H8" s="194">
        <f t="shared" si="0"/>
        <v>8.595699999999999</v>
      </c>
      <c r="I8" s="15"/>
      <c r="J8" s="15"/>
      <c r="K8" s="15"/>
    </row>
    <row r="9" spans="1:13" x14ac:dyDescent="0.2">
      <c r="A9" s="145">
        <v>1</v>
      </c>
      <c r="B9" s="195" t="s">
        <v>67</v>
      </c>
      <c r="C9" s="193">
        <v>5.08</v>
      </c>
      <c r="D9" s="193">
        <v>2.8079999999999998</v>
      </c>
      <c r="E9" s="193">
        <v>0.437</v>
      </c>
      <c r="F9" s="193">
        <v>1.4999999999999999E-2</v>
      </c>
      <c r="G9" s="193">
        <v>1.075</v>
      </c>
      <c r="H9" s="196">
        <f t="shared" si="0"/>
        <v>8.9654999999999987</v>
      </c>
      <c r="I9" s="15"/>
      <c r="J9" s="15"/>
      <c r="K9" s="15"/>
    </row>
    <row r="10" spans="1:13" x14ac:dyDescent="0.2">
      <c r="A10" s="142">
        <v>1</v>
      </c>
      <c r="B10" s="192" t="s">
        <v>68</v>
      </c>
      <c r="C10" s="193">
        <v>5.35</v>
      </c>
      <c r="D10" s="193">
        <v>3.2210000000000001</v>
      </c>
      <c r="E10" s="193">
        <v>0.437</v>
      </c>
      <c r="F10" s="193">
        <v>1.4999999999999999E-2</v>
      </c>
      <c r="G10" s="193">
        <v>1.075</v>
      </c>
      <c r="H10" s="194">
        <f>+(C10+D10+E10+F10)*G10</f>
        <v>9.699724999999999</v>
      </c>
      <c r="I10" s="15"/>
      <c r="J10" s="15"/>
      <c r="K10" s="15"/>
    </row>
    <row r="11" spans="1:13" x14ac:dyDescent="0.2">
      <c r="A11" s="145">
        <v>1</v>
      </c>
      <c r="B11" s="195" t="s">
        <v>69</v>
      </c>
      <c r="C11" s="193">
        <v>5.35</v>
      </c>
      <c r="D11" s="193">
        <v>3.2210000000000001</v>
      </c>
      <c r="E11" s="193">
        <v>0.437</v>
      </c>
      <c r="F11" s="193">
        <v>1.4999999999999999E-2</v>
      </c>
      <c r="G11" s="193">
        <v>1.075</v>
      </c>
      <c r="H11" s="196">
        <f t="shared" si="0"/>
        <v>9.699724999999999</v>
      </c>
      <c r="I11" s="15"/>
      <c r="J11" s="15"/>
      <c r="K11" s="15"/>
    </row>
    <row r="12" spans="1:13" x14ac:dyDescent="0.2">
      <c r="A12" s="142">
        <v>1</v>
      </c>
      <c r="B12" s="192" t="s">
        <v>70</v>
      </c>
      <c r="C12" s="193">
        <v>5.35</v>
      </c>
      <c r="D12" s="193">
        <v>3.2210000000000001</v>
      </c>
      <c r="E12" s="193">
        <v>0.437</v>
      </c>
      <c r="F12" s="193">
        <v>1.4999999999999999E-2</v>
      </c>
      <c r="G12" s="193">
        <v>1.075</v>
      </c>
      <c r="H12" s="194">
        <f t="shared" si="0"/>
        <v>9.699724999999999</v>
      </c>
      <c r="I12" s="15"/>
      <c r="J12" s="15"/>
      <c r="K12" s="15"/>
    </row>
    <row r="13" spans="1:13" x14ac:dyDescent="0.2">
      <c r="A13" s="145">
        <v>1</v>
      </c>
      <c r="B13" s="195" t="s">
        <v>71</v>
      </c>
      <c r="C13" s="193">
        <v>5.35</v>
      </c>
      <c r="D13" s="193">
        <v>3.2210000000000001</v>
      </c>
      <c r="E13" s="193">
        <v>0.437</v>
      </c>
      <c r="F13" s="193">
        <v>1.4999999999999999E-2</v>
      </c>
      <c r="G13" s="193">
        <v>1.075</v>
      </c>
      <c r="H13" s="196">
        <f t="shared" si="0"/>
        <v>9.699724999999999</v>
      </c>
      <c r="I13" s="15"/>
      <c r="J13" s="15"/>
      <c r="K13" s="15"/>
    </row>
    <row r="14" spans="1:13" x14ac:dyDescent="0.2">
      <c r="A14" s="142">
        <v>1</v>
      </c>
      <c r="B14" s="192" t="s">
        <v>72</v>
      </c>
      <c r="C14" s="193">
        <v>5.35</v>
      </c>
      <c r="D14" s="193">
        <v>3.2210000000000001</v>
      </c>
      <c r="E14" s="193">
        <v>0.437</v>
      </c>
      <c r="F14" s="193">
        <v>1.4999999999999999E-2</v>
      </c>
      <c r="G14" s="193">
        <v>1.075</v>
      </c>
      <c r="H14" s="194">
        <f>+(C14+D14+E14+F14)*G14</f>
        <v>9.699724999999999</v>
      </c>
      <c r="I14" s="15"/>
      <c r="J14" s="15"/>
      <c r="K14" s="15"/>
    </row>
    <row r="15" spans="1:13" x14ac:dyDescent="0.2">
      <c r="A15" s="145">
        <v>1</v>
      </c>
      <c r="B15" s="195" t="s">
        <v>73</v>
      </c>
      <c r="C15" s="193">
        <v>5.35</v>
      </c>
      <c r="D15" s="193">
        <v>3.2210000000000001</v>
      </c>
      <c r="E15" s="193">
        <v>0.437</v>
      </c>
      <c r="F15" s="193">
        <v>1.4999999999999999E-2</v>
      </c>
      <c r="G15" s="193">
        <v>1.075</v>
      </c>
      <c r="H15" s="196">
        <f t="shared" si="0"/>
        <v>9.699724999999999</v>
      </c>
      <c r="I15" s="15"/>
      <c r="J15" s="15"/>
      <c r="K15" s="15"/>
    </row>
    <row r="16" spans="1:13" x14ac:dyDescent="0.2">
      <c r="A16" s="130"/>
      <c r="B16" s="130"/>
      <c r="C16" s="197"/>
      <c r="D16" s="197"/>
      <c r="E16" s="197"/>
      <c r="F16" s="197"/>
      <c r="G16" s="197"/>
      <c r="H16" s="197">
        <f>AVERAGE(H4:H15)</f>
        <v>9.1785291666666655</v>
      </c>
      <c r="I16" s="15"/>
      <c r="J16" s="15"/>
      <c r="K16" s="15"/>
    </row>
  </sheetData>
  <mergeCells count="4">
    <mergeCell ref="A2:H2"/>
    <mergeCell ref="A1:B1"/>
    <mergeCell ref="C1:H1"/>
    <mergeCell ref="I1:K1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E228-C3EB-4534-9F81-817440513B76}">
  <dimension ref="A1:M17"/>
  <sheetViews>
    <sheetView zoomScale="70" zoomScaleNormal="70" workbookViewId="0"/>
  </sheetViews>
  <sheetFormatPr baseColWidth="10" defaultColWidth="8.83203125" defaultRowHeight="15" x14ac:dyDescent="0.2"/>
  <cols>
    <col min="1" max="1" width="24.1640625" bestFit="1" customWidth="1"/>
    <col min="2" max="3" width="36.6640625" customWidth="1"/>
  </cols>
  <sheetData>
    <row r="1" spans="1:13" s="2" customFormat="1" ht="22" x14ac:dyDescent="0.2">
      <c r="A1" s="147" t="s">
        <v>5</v>
      </c>
      <c r="B1" s="231" t="s">
        <v>6</v>
      </c>
      <c r="C1" s="231"/>
      <c r="D1" s="203"/>
      <c r="E1" s="203"/>
      <c r="F1" s="203"/>
      <c r="G1" s="203"/>
      <c r="H1" s="203"/>
      <c r="I1" s="203"/>
      <c r="J1" s="203"/>
      <c r="K1" s="203" t="s">
        <v>7</v>
      </c>
      <c r="L1" s="203"/>
      <c r="M1" s="203"/>
    </row>
    <row r="2" spans="1:13" x14ac:dyDescent="0.2">
      <c r="A2" s="120" t="s">
        <v>119</v>
      </c>
      <c r="B2" s="120" t="s">
        <v>120</v>
      </c>
      <c r="C2" s="120" t="s">
        <v>121</v>
      </c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2">
      <c r="A3" s="142">
        <v>1</v>
      </c>
      <c r="B3" s="198">
        <f>'Year 1'!C16</f>
        <v>367300</v>
      </c>
      <c r="C3" s="198">
        <f>'Year 1'!F16</f>
        <v>348227.00000000006</v>
      </c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x14ac:dyDescent="0.2">
      <c r="A4" s="145">
        <v>2</v>
      </c>
      <c r="B4" s="199">
        <f t="shared" ref="B4:B17" si="0">B3*0.997</f>
        <v>366198.1</v>
      </c>
      <c r="C4" s="199">
        <f t="shared" ref="C4:C17" si="1">C3*0.997</f>
        <v>347182.31900000008</v>
      </c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x14ac:dyDescent="0.2">
      <c r="A5" s="142">
        <v>3</v>
      </c>
      <c r="B5" s="198">
        <f t="shared" si="0"/>
        <v>365099.50569999998</v>
      </c>
      <c r="C5" s="198">
        <f t="shared" si="1"/>
        <v>346140.77204300009</v>
      </c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x14ac:dyDescent="0.2">
      <c r="A6" s="145">
        <v>4</v>
      </c>
      <c r="B6" s="199">
        <f t="shared" si="0"/>
        <v>364004.20718289999</v>
      </c>
      <c r="C6" s="199">
        <f t="shared" si="1"/>
        <v>345102.34972687106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x14ac:dyDescent="0.2">
      <c r="A7" s="142">
        <v>5</v>
      </c>
      <c r="B7" s="198">
        <f t="shared" si="0"/>
        <v>362912.19456135127</v>
      </c>
      <c r="C7" s="198">
        <f t="shared" si="1"/>
        <v>344067.04267769045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2">
      <c r="A8" s="145">
        <v>6</v>
      </c>
      <c r="B8" s="199">
        <f t="shared" si="0"/>
        <v>361823.45797766722</v>
      </c>
      <c r="C8" s="199">
        <f t="shared" si="1"/>
        <v>343034.8415496574</v>
      </c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x14ac:dyDescent="0.2">
      <c r="A9" s="142">
        <v>7</v>
      </c>
      <c r="B9" s="198">
        <f t="shared" si="0"/>
        <v>360737.98760373419</v>
      </c>
      <c r="C9" s="198">
        <f t="shared" si="1"/>
        <v>342005.73702500842</v>
      </c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x14ac:dyDescent="0.2">
      <c r="A10" s="145">
        <v>8</v>
      </c>
      <c r="B10" s="199">
        <f t="shared" si="0"/>
        <v>359655.77364092297</v>
      </c>
      <c r="C10" s="199">
        <f t="shared" si="1"/>
        <v>340979.71981393342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x14ac:dyDescent="0.2">
      <c r="A11" s="142">
        <v>9</v>
      </c>
      <c r="B11" s="198">
        <f t="shared" si="0"/>
        <v>358576.80632000021</v>
      </c>
      <c r="C11" s="198">
        <f t="shared" si="1"/>
        <v>339956.78065449162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x14ac:dyDescent="0.2">
      <c r="A12" s="145">
        <v>10</v>
      </c>
      <c r="B12" s="199">
        <f t="shared" si="0"/>
        <v>357501.07590104023</v>
      </c>
      <c r="C12" s="199">
        <f t="shared" si="1"/>
        <v>338936.91031252814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2">
      <c r="A13" s="142">
        <v>11</v>
      </c>
      <c r="B13" s="198">
        <f t="shared" si="0"/>
        <v>356428.57267333713</v>
      </c>
      <c r="C13" s="198">
        <f t="shared" si="1"/>
        <v>337920.09958159056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">
      <c r="A14" s="145">
        <v>12</v>
      </c>
      <c r="B14" s="199">
        <f t="shared" si="0"/>
        <v>355359.28695531713</v>
      </c>
      <c r="C14" s="199">
        <f t="shared" si="1"/>
        <v>336906.33928284579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2">
      <c r="A15" s="142">
        <v>13</v>
      </c>
      <c r="B15" s="198">
        <f t="shared" si="0"/>
        <v>354293.20909445116</v>
      </c>
      <c r="C15" s="198">
        <f t="shared" si="1"/>
        <v>335895.62026499724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x14ac:dyDescent="0.2">
      <c r="A16" s="145">
        <v>14</v>
      </c>
      <c r="B16" s="199">
        <f t="shared" si="0"/>
        <v>353230.32946716779</v>
      </c>
      <c r="C16" s="199">
        <f t="shared" si="1"/>
        <v>334887.93340420222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2">
      <c r="A17" s="142">
        <v>15</v>
      </c>
      <c r="B17" s="198">
        <f t="shared" si="0"/>
        <v>352170.63847876625</v>
      </c>
      <c r="C17" s="198">
        <f t="shared" si="1"/>
        <v>333883.26960398961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</row>
  </sheetData>
  <mergeCells count="2">
    <mergeCell ref="B1:J1"/>
    <mergeCell ref="K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Portfolio Guide</vt:lpstr>
      <vt:lpstr>General Data</vt:lpstr>
      <vt:lpstr>Projection</vt:lpstr>
      <vt:lpstr>Year 1</vt:lpstr>
      <vt:lpstr>Operating Costs</vt:lpstr>
      <vt:lpstr>CO2 Impact</vt:lpstr>
      <vt:lpstr>Cost Comparison</vt:lpstr>
      <vt:lpstr>Energy Price</vt:lpstr>
      <vt:lpstr>Average Price</vt:lpstr>
      <vt:lpstr>System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2026-08-11T18:49:01Z</dcterms:modified>
</cp:coreProperties>
</file>